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roject Submition\"/>
    </mc:Choice>
  </mc:AlternateContent>
  <xr:revisionPtr revIDLastSave="0" documentId="13_ncr:1_{55D28EFA-354F-46B7-BF96-04D012487454}" xr6:coauthVersionLast="47" xr6:coauthVersionMax="47" xr10:uidLastSave="{00000000-0000-0000-0000-000000000000}"/>
  <bookViews>
    <workbookView xWindow="20280" yWindow="-120" windowWidth="19440" windowHeight="14880" tabRatio="681" xr2:uid="{00000000-000D-0000-FFFF-FFFF00000000}"/>
  </bookViews>
  <sheets>
    <sheet name="Summary" sheetId="6" r:id="rId1"/>
    <sheet name="Grocery Purchase" sheetId="2" r:id="rId2"/>
    <sheet name="Bottle Consu." sheetId="4" r:id="rId3"/>
    <sheet name="Hukka Consu." sheetId="5" r:id="rId4"/>
    <sheet name="Sheet_Support" sheetId="3" state="hidden" r:id="rId5"/>
  </sheets>
  <externalReferences>
    <externalReference r:id="rId6"/>
  </externalReferences>
  <definedNames>
    <definedName name="_xlnm._FilterDatabase" localSheetId="2" hidden="1">'Bottle Consu.'!$A$4:$AX$21</definedName>
    <definedName name="_xlnm._FilterDatabase" localSheetId="1" hidden="1">'Grocery Purchase'!$A$4:$AY$154</definedName>
    <definedName name="_xlnm._FilterDatabase" localSheetId="3" hidden="1">'Hukka Consu.'!$A$4:$AX$26</definedName>
    <definedName name="Attendance">[1]!tbl_Attendance[Attendance]</definedName>
    <definedName name="Designation">#REF!</definedName>
    <definedName name="ONDO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7" i="2" l="1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H26" i="5" l="1"/>
  <c r="AQ72" i="2" l="1"/>
  <c r="AQ71" i="2"/>
  <c r="AU72" i="2"/>
  <c r="AX72" i="2" s="1"/>
  <c r="AU71" i="2"/>
  <c r="AX71" i="2" s="1"/>
  <c r="K71" i="2"/>
  <c r="K72" i="2"/>
  <c r="AQ100" i="2"/>
  <c r="AS100" i="2" s="1"/>
  <c r="AU100" i="2"/>
  <c r="AX100" i="2" s="1"/>
  <c r="AQ101" i="2"/>
  <c r="AS101" i="2" s="1"/>
  <c r="AU101" i="2"/>
  <c r="AX101" i="2" s="1"/>
  <c r="AQ102" i="2"/>
  <c r="AU102" i="2"/>
  <c r="AX102" i="2" s="1"/>
  <c r="AQ103" i="2"/>
  <c r="AS103" i="2" s="1"/>
  <c r="AU103" i="2"/>
  <c r="AX103" i="2" s="1"/>
  <c r="AQ104" i="2"/>
  <c r="AS104" i="2" s="1"/>
  <c r="AU104" i="2"/>
  <c r="AX104" i="2" s="1"/>
  <c r="AQ105" i="2"/>
  <c r="AS105" i="2" s="1"/>
  <c r="AU105" i="2"/>
  <c r="AX105" i="2" s="1"/>
  <c r="AQ106" i="2"/>
  <c r="AU106" i="2"/>
  <c r="AX106" i="2" s="1"/>
  <c r="AQ107" i="2"/>
  <c r="AS107" i="2" s="1"/>
  <c r="AU107" i="2"/>
  <c r="AX107" i="2" s="1"/>
  <c r="AQ108" i="2"/>
  <c r="AS108" i="2" s="1"/>
  <c r="AU108" i="2"/>
  <c r="AX108" i="2" s="1"/>
  <c r="AQ109" i="2"/>
  <c r="AS109" i="2" s="1"/>
  <c r="AU109" i="2"/>
  <c r="AX109" i="2" s="1"/>
  <c r="AQ110" i="2"/>
  <c r="AU110" i="2"/>
  <c r="AX110" i="2" s="1"/>
  <c r="AQ111" i="2"/>
  <c r="AS111" i="2" s="1"/>
  <c r="AU111" i="2"/>
  <c r="AX111" i="2" s="1"/>
  <c r="AQ112" i="2"/>
  <c r="AS112" i="2" s="1"/>
  <c r="AU112" i="2"/>
  <c r="AX112" i="2" s="1"/>
  <c r="AQ113" i="2"/>
  <c r="AS113" i="2" s="1"/>
  <c r="AU113" i="2"/>
  <c r="AX113" i="2" s="1"/>
  <c r="AQ114" i="2"/>
  <c r="AU114" i="2"/>
  <c r="AX114" i="2" s="1"/>
  <c r="AQ115" i="2"/>
  <c r="AS115" i="2" s="1"/>
  <c r="AU115" i="2"/>
  <c r="AX115" i="2" s="1"/>
  <c r="AQ116" i="2"/>
  <c r="AS116" i="2" s="1"/>
  <c r="AU116" i="2"/>
  <c r="AX116" i="2" s="1"/>
  <c r="AQ117" i="2"/>
  <c r="AS117" i="2" s="1"/>
  <c r="AU117" i="2"/>
  <c r="AX117" i="2" s="1"/>
  <c r="AQ118" i="2"/>
  <c r="AU118" i="2"/>
  <c r="AX118" i="2" s="1"/>
  <c r="AQ119" i="2"/>
  <c r="AS119" i="2" s="1"/>
  <c r="AU119" i="2"/>
  <c r="AX119" i="2" s="1"/>
  <c r="AQ120" i="2"/>
  <c r="AS120" i="2" s="1"/>
  <c r="AU120" i="2"/>
  <c r="AX120" i="2" s="1"/>
  <c r="AQ121" i="2"/>
  <c r="AS121" i="2" s="1"/>
  <c r="AU121" i="2"/>
  <c r="AX121" i="2" s="1"/>
  <c r="AQ122" i="2"/>
  <c r="AU122" i="2"/>
  <c r="AX122" i="2" s="1"/>
  <c r="AQ123" i="2"/>
  <c r="AS123" i="2" s="1"/>
  <c r="AU123" i="2"/>
  <c r="AX123" i="2" s="1"/>
  <c r="AQ124" i="2"/>
  <c r="AS124" i="2" s="1"/>
  <c r="AU124" i="2"/>
  <c r="AX124" i="2" s="1"/>
  <c r="AQ125" i="2"/>
  <c r="AS125" i="2" s="1"/>
  <c r="AU125" i="2"/>
  <c r="AX125" i="2" s="1"/>
  <c r="AQ126" i="2"/>
  <c r="AU126" i="2"/>
  <c r="AX126" i="2" s="1"/>
  <c r="AQ127" i="2"/>
  <c r="AS127" i="2" s="1"/>
  <c r="AU127" i="2"/>
  <c r="AX127" i="2" s="1"/>
  <c r="AQ128" i="2"/>
  <c r="AS128" i="2" s="1"/>
  <c r="AU128" i="2"/>
  <c r="AX128" i="2" s="1"/>
  <c r="AQ129" i="2"/>
  <c r="AS129" i="2" s="1"/>
  <c r="AU129" i="2"/>
  <c r="AX129" i="2" s="1"/>
  <c r="AQ130" i="2"/>
  <c r="AU130" i="2"/>
  <c r="AX130" i="2" s="1"/>
  <c r="AQ131" i="2"/>
  <c r="AS131" i="2" s="1"/>
  <c r="AU131" i="2"/>
  <c r="AX131" i="2" s="1"/>
  <c r="AQ132" i="2"/>
  <c r="AS132" i="2" s="1"/>
  <c r="AU132" i="2"/>
  <c r="AX132" i="2" s="1"/>
  <c r="AQ133" i="2"/>
  <c r="AS133" i="2" s="1"/>
  <c r="AU133" i="2"/>
  <c r="AX133" i="2" s="1"/>
  <c r="AQ134" i="2"/>
  <c r="AU134" i="2"/>
  <c r="AX134" i="2" s="1"/>
  <c r="AQ135" i="2"/>
  <c r="AS135" i="2" s="1"/>
  <c r="AU135" i="2"/>
  <c r="AX135" i="2" s="1"/>
  <c r="AQ136" i="2"/>
  <c r="AS136" i="2" s="1"/>
  <c r="AU136" i="2"/>
  <c r="AX136" i="2" s="1"/>
  <c r="AQ137" i="2"/>
  <c r="AS137" i="2" s="1"/>
  <c r="AU137" i="2"/>
  <c r="AX137" i="2" s="1"/>
  <c r="AQ138" i="2"/>
  <c r="AU138" i="2"/>
  <c r="AX138" i="2" s="1"/>
  <c r="AQ139" i="2"/>
  <c r="AS139" i="2" s="1"/>
  <c r="AU139" i="2"/>
  <c r="AX139" i="2" s="1"/>
  <c r="AQ140" i="2"/>
  <c r="AS140" i="2" s="1"/>
  <c r="AU140" i="2"/>
  <c r="AX140" i="2" s="1"/>
  <c r="AQ141" i="2"/>
  <c r="AS141" i="2" s="1"/>
  <c r="AU141" i="2"/>
  <c r="AX141" i="2" s="1"/>
  <c r="AQ142" i="2"/>
  <c r="AU142" i="2"/>
  <c r="AX142" i="2" s="1"/>
  <c r="AQ143" i="2"/>
  <c r="AS143" i="2" s="1"/>
  <c r="AU143" i="2"/>
  <c r="AX143" i="2" s="1"/>
  <c r="AQ144" i="2"/>
  <c r="AS144" i="2" s="1"/>
  <c r="AU144" i="2"/>
  <c r="AX144" i="2" s="1"/>
  <c r="AQ145" i="2"/>
  <c r="AS145" i="2" s="1"/>
  <c r="AU145" i="2"/>
  <c r="AX145" i="2" s="1"/>
  <c r="AQ146" i="2"/>
  <c r="AU146" i="2"/>
  <c r="AX146" i="2" s="1"/>
  <c r="AQ147" i="2"/>
  <c r="AS147" i="2" s="1"/>
  <c r="AU147" i="2"/>
  <c r="AX147" i="2" s="1"/>
  <c r="K148" i="2"/>
  <c r="AQ148" i="2"/>
  <c r="AS148" i="2" s="1"/>
  <c r="AU148" i="2"/>
  <c r="AX148" i="2" s="1"/>
  <c r="K149" i="2"/>
  <c r="AQ149" i="2"/>
  <c r="AS149" i="2" s="1"/>
  <c r="AU149" i="2"/>
  <c r="AX149" i="2" s="1"/>
  <c r="K150" i="2"/>
  <c r="AQ150" i="2"/>
  <c r="AU150" i="2"/>
  <c r="AX150" i="2" s="1"/>
  <c r="K151" i="2"/>
  <c r="AQ151" i="2"/>
  <c r="AS151" i="2" s="1"/>
  <c r="AU151" i="2"/>
  <c r="AX151" i="2" s="1"/>
  <c r="K152" i="2"/>
  <c r="AQ152" i="2"/>
  <c r="AS152" i="2" s="1"/>
  <c r="AU152" i="2"/>
  <c r="AX152" i="2" s="1"/>
  <c r="AR126" i="2" l="1"/>
  <c r="AT126" i="2" s="1"/>
  <c r="AR151" i="2"/>
  <c r="AT151" i="2" s="1"/>
  <c r="AR131" i="2"/>
  <c r="AT131" i="2" s="1"/>
  <c r="AR147" i="2"/>
  <c r="AT147" i="2" s="1"/>
  <c r="AR150" i="2"/>
  <c r="AT150" i="2" s="1"/>
  <c r="AR139" i="2"/>
  <c r="AT139" i="2" s="1"/>
  <c r="AR120" i="2"/>
  <c r="AT120" i="2" s="1"/>
  <c r="AR119" i="2"/>
  <c r="AT119" i="2" s="1"/>
  <c r="AR111" i="2"/>
  <c r="AT111" i="2" s="1"/>
  <c r="AS71" i="2"/>
  <c r="AR71" i="2"/>
  <c r="AT71" i="2" s="1"/>
  <c r="AS72" i="2"/>
  <c r="AR72" i="2"/>
  <c r="AT72" i="2" s="1"/>
  <c r="AR121" i="2"/>
  <c r="AT121" i="2" s="1"/>
  <c r="AR137" i="2"/>
  <c r="AT137" i="2" s="1"/>
  <c r="AR136" i="2"/>
  <c r="AT136" i="2" s="1"/>
  <c r="AR135" i="2"/>
  <c r="AT135" i="2" s="1"/>
  <c r="AR103" i="2"/>
  <c r="AT103" i="2" s="1"/>
  <c r="AR146" i="2"/>
  <c r="AT146" i="2" s="1"/>
  <c r="AR143" i="2"/>
  <c r="AT143" i="2" s="1"/>
  <c r="AR123" i="2"/>
  <c r="AT123" i="2" s="1"/>
  <c r="AR152" i="2"/>
  <c r="AT152" i="2" s="1"/>
  <c r="AR134" i="2"/>
  <c r="AT134" i="2" s="1"/>
  <c r="AR130" i="2"/>
  <c r="AT130" i="2" s="1"/>
  <c r="AR127" i="2"/>
  <c r="AT127" i="2" s="1"/>
  <c r="AR110" i="2"/>
  <c r="AT110" i="2" s="1"/>
  <c r="AR142" i="2"/>
  <c r="AT142" i="2" s="1"/>
  <c r="AR118" i="2"/>
  <c r="AT118" i="2" s="1"/>
  <c r="AR149" i="2"/>
  <c r="AT149" i="2" s="1"/>
  <c r="AR132" i="2"/>
  <c r="AT132" i="2" s="1"/>
  <c r="AR117" i="2"/>
  <c r="AT117" i="2" s="1"/>
  <c r="AR112" i="2"/>
  <c r="AT112" i="2" s="1"/>
  <c r="AR145" i="2"/>
  <c r="AT145" i="2" s="1"/>
  <c r="AR129" i="2"/>
  <c r="AT129" i="2" s="1"/>
  <c r="AR128" i="2"/>
  <c r="AT128" i="2" s="1"/>
  <c r="AR115" i="2"/>
  <c r="AT115" i="2" s="1"/>
  <c r="AR108" i="2"/>
  <c r="AT108" i="2" s="1"/>
  <c r="AR105" i="2"/>
  <c r="AT105" i="2" s="1"/>
  <c r="AR104" i="2"/>
  <c r="AT104" i="2" s="1"/>
  <c r="AR141" i="2"/>
  <c r="AT141" i="2" s="1"/>
  <c r="AR140" i="2"/>
  <c r="AT140" i="2" s="1"/>
  <c r="AR138" i="2"/>
  <c r="AT138" i="2" s="1"/>
  <c r="AR125" i="2"/>
  <c r="AT125" i="2" s="1"/>
  <c r="AR124" i="2"/>
  <c r="AT124" i="2" s="1"/>
  <c r="AR122" i="2"/>
  <c r="AT122" i="2" s="1"/>
  <c r="AR107" i="2"/>
  <c r="AT107" i="2" s="1"/>
  <c r="AR148" i="2"/>
  <c r="AT148" i="2" s="1"/>
  <c r="AR133" i="2"/>
  <c r="AT133" i="2" s="1"/>
  <c r="AR116" i="2"/>
  <c r="AT116" i="2" s="1"/>
  <c r="AR113" i="2"/>
  <c r="AT113" i="2" s="1"/>
  <c r="AR144" i="2"/>
  <c r="AT144" i="2" s="1"/>
  <c r="AR109" i="2"/>
  <c r="AT109" i="2" s="1"/>
  <c r="AR101" i="2"/>
  <c r="AT101" i="2" s="1"/>
  <c r="AR100" i="2"/>
  <c r="AT100" i="2" s="1"/>
  <c r="AR114" i="2"/>
  <c r="AT114" i="2" s="1"/>
  <c r="AR106" i="2"/>
  <c r="AT106" i="2" s="1"/>
  <c r="AR102" i="2"/>
  <c r="AT102" i="2" s="1"/>
  <c r="AS134" i="2"/>
  <c r="AS130" i="2"/>
  <c r="AS126" i="2"/>
  <c r="AS122" i="2"/>
  <c r="AS118" i="2"/>
  <c r="AS114" i="2"/>
  <c r="AS110" i="2"/>
  <c r="AS106" i="2"/>
  <c r="AS102" i="2"/>
  <c r="AS150" i="2"/>
  <c r="AS146" i="2"/>
  <c r="AS142" i="2"/>
  <c r="AS138" i="2"/>
  <c r="K82" i="2"/>
  <c r="AQ82" i="2"/>
  <c r="AS82" i="2" s="1"/>
  <c r="AU82" i="2"/>
  <c r="AX82" i="2" s="1"/>
  <c r="K83" i="2"/>
  <c r="AQ83" i="2"/>
  <c r="AS83" i="2" s="1"/>
  <c r="AU83" i="2"/>
  <c r="AX83" i="2" s="1"/>
  <c r="K84" i="2"/>
  <c r="AQ84" i="2"/>
  <c r="AS84" i="2" s="1"/>
  <c r="AU84" i="2"/>
  <c r="AX84" i="2" s="1"/>
  <c r="K85" i="2"/>
  <c r="AQ85" i="2"/>
  <c r="AS85" i="2" s="1"/>
  <c r="AU85" i="2"/>
  <c r="AX85" i="2" s="1"/>
  <c r="K86" i="2"/>
  <c r="AQ86" i="2"/>
  <c r="AS86" i="2" s="1"/>
  <c r="AU86" i="2"/>
  <c r="AX86" i="2" s="1"/>
  <c r="AQ87" i="2"/>
  <c r="AS87" i="2" s="1"/>
  <c r="AU87" i="2"/>
  <c r="AX87" i="2" s="1"/>
  <c r="AQ88" i="2"/>
  <c r="AS88" i="2" s="1"/>
  <c r="AU88" i="2"/>
  <c r="AX88" i="2" s="1"/>
  <c r="AQ89" i="2"/>
  <c r="AS89" i="2" s="1"/>
  <c r="AU89" i="2"/>
  <c r="AX89" i="2" s="1"/>
  <c r="AQ90" i="2"/>
  <c r="AS90" i="2" s="1"/>
  <c r="AU90" i="2"/>
  <c r="AX90" i="2" s="1"/>
  <c r="AQ91" i="2"/>
  <c r="AS91" i="2" s="1"/>
  <c r="AU91" i="2"/>
  <c r="AX91" i="2" s="1"/>
  <c r="AQ92" i="2"/>
  <c r="AS92" i="2" s="1"/>
  <c r="AU92" i="2"/>
  <c r="AX92" i="2" s="1"/>
  <c r="AQ93" i="2"/>
  <c r="AS93" i="2" s="1"/>
  <c r="AU93" i="2"/>
  <c r="AX93" i="2" s="1"/>
  <c r="AQ94" i="2"/>
  <c r="AS94" i="2" s="1"/>
  <c r="AU94" i="2"/>
  <c r="AX94" i="2" s="1"/>
  <c r="AQ95" i="2"/>
  <c r="AS95" i="2" s="1"/>
  <c r="AU95" i="2"/>
  <c r="AX95" i="2" s="1"/>
  <c r="AQ96" i="2"/>
  <c r="AS96" i="2" s="1"/>
  <c r="AU96" i="2"/>
  <c r="AX96" i="2" s="1"/>
  <c r="AQ97" i="2"/>
  <c r="AS97" i="2" s="1"/>
  <c r="AU97" i="2"/>
  <c r="AX97" i="2" s="1"/>
  <c r="AQ98" i="2"/>
  <c r="AS98" i="2" s="1"/>
  <c r="AU98" i="2"/>
  <c r="AX98" i="2" s="1"/>
  <c r="AQ99" i="2"/>
  <c r="AS99" i="2" s="1"/>
  <c r="AU99" i="2"/>
  <c r="AX99" i="2" s="1"/>
  <c r="K153" i="2"/>
  <c r="AQ153" i="2"/>
  <c r="AS153" i="2" s="1"/>
  <c r="AU153" i="2"/>
  <c r="AX153" i="2" s="1"/>
  <c r="AR96" i="2" l="1"/>
  <c r="AT96" i="2" s="1"/>
  <c r="AR95" i="2"/>
  <c r="AT95" i="2" s="1"/>
  <c r="AR91" i="2"/>
  <c r="AT91" i="2" s="1"/>
  <c r="AR83" i="2"/>
  <c r="AT83" i="2" s="1"/>
  <c r="AR87" i="2"/>
  <c r="AT87" i="2" s="1"/>
  <c r="AR88" i="2"/>
  <c r="AT88" i="2" s="1"/>
  <c r="AR99" i="2"/>
  <c r="AT99" i="2" s="1"/>
  <c r="AR97" i="2"/>
  <c r="AT97" i="2" s="1"/>
  <c r="AR92" i="2"/>
  <c r="AT92" i="2" s="1"/>
  <c r="AR153" i="2"/>
  <c r="AT153" i="2" s="1"/>
  <c r="AR90" i="2"/>
  <c r="AT90" i="2" s="1"/>
  <c r="AR89" i="2"/>
  <c r="AT89" i="2" s="1"/>
  <c r="AR86" i="2"/>
  <c r="AT86" i="2" s="1"/>
  <c r="AR94" i="2"/>
  <c r="AT94" i="2" s="1"/>
  <c r="AR85" i="2"/>
  <c r="AT85" i="2" s="1"/>
  <c r="AR98" i="2"/>
  <c r="AT98" i="2" s="1"/>
  <c r="AR93" i="2"/>
  <c r="AT93" i="2" s="1"/>
  <c r="AR84" i="2"/>
  <c r="AT84" i="2" s="1"/>
  <c r="AR82" i="2"/>
  <c r="AT82" i="2" s="1"/>
  <c r="K41" i="2"/>
  <c r="AQ41" i="2"/>
  <c r="AS41" i="2" s="1"/>
  <c r="AU41" i="2"/>
  <c r="AX41" i="2" s="1"/>
  <c r="AR41" i="2" l="1"/>
  <c r="AT41" i="2" s="1"/>
  <c r="J18" i="5"/>
  <c r="AP18" i="5"/>
  <c r="AR18" i="5" s="1"/>
  <c r="AT18" i="5"/>
  <c r="AW18" i="5" s="1"/>
  <c r="J17" i="5"/>
  <c r="AP17" i="5"/>
  <c r="AR17" i="5" s="1"/>
  <c r="AT17" i="5"/>
  <c r="AW17" i="5" s="1"/>
  <c r="F15" i="6"/>
  <c r="F16" i="6"/>
  <c r="F17" i="6"/>
  <c r="F20" i="6"/>
  <c r="F21" i="6"/>
  <c r="F22" i="6"/>
  <c r="F25" i="6"/>
  <c r="F26" i="6"/>
  <c r="AQ18" i="5" l="1"/>
  <c r="AS18" i="5" s="1"/>
  <c r="AQ17" i="5"/>
  <c r="AS17" i="5" s="1"/>
  <c r="K81" i="2"/>
  <c r="AQ81" i="2"/>
  <c r="AS81" i="2" s="1"/>
  <c r="AU81" i="2"/>
  <c r="AX81" i="2" s="1"/>
  <c r="AR81" i="2" l="1"/>
  <c r="AT81" i="2" s="1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I154" i="2" l="1"/>
  <c r="K42" i="2" l="1"/>
  <c r="K43" i="2"/>
  <c r="K44" i="2"/>
  <c r="K45" i="2"/>
  <c r="K46" i="2"/>
  <c r="AQ42" i="2"/>
  <c r="AS42" i="2" s="1"/>
  <c r="AU42" i="2"/>
  <c r="AX42" i="2" s="1"/>
  <c r="AQ43" i="2"/>
  <c r="AS43" i="2" s="1"/>
  <c r="AU43" i="2"/>
  <c r="AX43" i="2" s="1"/>
  <c r="AQ44" i="2"/>
  <c r="AS44" i="2" s="1"/>
  <c r="AU44" i="2"/>
  <c r="AX44" i="2" s="1"/>
  <c r="AQ45" i="2"/>
  <c r="AS45" i="2" s="1"/>
  <c r="AU45" i="2"/>
  <c r="AX45" i="2" s="1"/>
  <c r="AQ46" i="2"/>
  <c r="AS46" i="2" s="1"/>
  <c r="AU46" i="2"/>
  <c r="AX46" i="2" s="1"/>
  <c r="AQ19" i="2"/>
  <c r="AS19" i="2" s="1"/>
  <c r="AU19" i="2"/>
  <c r="AX19" i="2" s="1"/>
  <c r="K19" i="2"/>
  <c r="AQ14" i="2"/>
  <c r="AS14" i="2" s="1"/>
  <c r="AU14" i="2"/>
  <c r="AX14" i="2" s="1"/>
  <c r="AQ15" i="2"/>
  <c r="AS15" i="2" s="1"/>
  <c r="AU15" i="2"/>
  <c r="AX15" i="2" s="1"/>
  <c r="AQ16" i="2"/>
  <c r="AS16" i="2" s="1"/>
  <c r="AU16" i="2"/>
  <c r="AX16" i="2" s="1"/>
  <c r="AQ17" i="2"/>
  <c r="AS17" i="2" s="1"/>
  <c r="AU17" i="2"/>
  <c r="AX17" i="2" s="1"/>
  <c r="AQ18" i="2"/>
  <c r="AS18" i="2" s="1"/>
  <c r="AU18" i="2"/>
  <c r="AX18" i="2" s="1"/>
  <c r="K14" i="2"/>
  <c r="K15" i="2"/>
  <c r="K16" i="2"/>
  <c r="K17" i="2"/>
  <c r="K18" i="2"/>
  <c r="K13" i="2"/>
  <c r="AQ13" i="2"/>
  <c r="AS13" i="2" s="1"/>
  <c r="AU13" i="2"/>
  <c r="AX13" i="2" s="1"/>
  <c r="AR45" i="2" l="1"/>
  <c r="AT45" i="2" s="1"/>
  <c r="AR44" i="2"/>
  <c r="AT44" i="2" s="1"/>
  <c r="AR43" i="2"/>
  <c r="AT43" i="2" s="1"/>
  <c r="AR46" i="2"/>
  <c r="AT46" i="2" s="1"/>
  <c r="AR42" i="2"/>
  <c r="AT42" i="2" s="1"/>
  <c r="AR14" i="2"/>
  <c r="AT14" i="2" s="1"/>
  <c r="AR19" i="2"/>
  <c r="AT19" i="2" s="1"/>
  <c r="AR15" i="2"/>
  <c r="AT15" i="2" s="1"/>
  <c r="AR13" i="2"/>
  <c r="AT13" i="2" s="1"/>
  <c r="AR16" i="2"/>
  <c r="AT16" i="2" s="1"/>
  <c r="AR18" i="2"/>
  <c r="AT18" i="2" s="1"/>
  <c r="AR17" i="2"/>
  <c r="AT17" i="2" s="1"/>
  <c r="J154" i="2"/>
  <c r="E5" i="6" s="1"/>
  <c r="AU8" i="2" l="1"/>
  <c r="AX8" i="2" s="1"/>
  <c r="AQ8" i="2"/>
  <c r="AU7" i="2"/>
  <c r="AX7" i="2" s="1"/>
  <c r="AQ7" i="2"/>
  <c r="AS7" i="2" s="1"/>
  <c r="AU6" i="2"/>
  <c r="AX6" i="2" s="1"/>
  <c r="AQ6" i="2"/>
  <c r="AU5" i="2"/>
  <c r="AX5" i="2" s="1"/>
  <c r="AQ5" i="2"/>
  <c r="AS5" i="2" s="1"/>
  <c r="K6" i="2"/>
  <c r="K7" i="2"/>
  <c r="K8" i="2"/>
  <c r="AR6" i="2" l="1"/>
  <c r="AT6" i="2" s="1"/>
  <c r="AR8" i="2"/>
  <c r="AT8" i="2" s="1"/>
  <c r="AS6" i="2"/>
  <c r="AS8" i="2"/>
  <c r="AR7" i="2"/>
  <c r="AT7" i="2" s="1"/>
  <c r="H21" i="4" l="1"/>
  <c r="K37" i="2" l="1"/>
  <c r="AQ37" i="2"/>
  <c r="AS37" i="2" s="1"/>
  <c r="AU37" i="2"/>
  <c r="AX37" i="2" s="1"/>
  <c r="AR37" i="2" l="1"/>
  <c r="AT37" i="2" s="1"/>
  <c r="AU9" i="2"/>
  <c r="AX9" i="2" s="1"/>
  <c r="AQ9" i="2"/>
  <c r="AS9" i="2" s="1"/>
  <c r="K9" i="2"/>
  <c r="AR9" i="2" l="1"/>
  <c r="AT9" i="2" s="1"/>
  <c r="J14" i="4"/>
  <c r="J6" i="4"/>
  <c r="J5" i="4"/>
  <c r="AT5" i="4" l="1"/>
  <c r="AP5" i="4"/>
  <c r="AR5" i="4" s="1"/>
  <c r="AQ78" i="2" l="1"/>
  <c r="AU78" i="2"/>
  <c r="AX78" i="2" s="1"/>
  <c r="AQ79" i="2"/>
  <c r="AS79" i="2" s="1"/>
  <c r="AU79" i="2"/>
  <c r="AX79" i="2" s="1"/>
  <c r="AQ80" i="2"/>
  <c r="AU80" i="2"/>
  <c r="AX80" i="2" s="1"/>
  <c r="K78" i="2"/>
  <c r="K79" i="2"/>
  <c r="K80" i="2"/>
  <c r="AR79" i="2" l="1"/>
  <c r="AT79" i="2" s="1"/>
  <c r="AR78" i="2"/>
  <c r="AT78" i="2" s="1"/>
  <c r="AR80" i="2"/>
  <c r="AT80" i="2" s="1"/>
  <c r="AS80" i="2"/>
  <c r="AS78" i="2"/>
  <c r="I26" i="5"/>
  <c r="E7" i="6" s="1"/>
  <c r="I21" i="4"/>
  <c r="E6" i="6" s="1"/>
  <c r="K21" i="4"/>
  <c r="AQ55" i="2"/>
  <c r="AS55" i="2" s="1"/>
  <c r="AQ56" i="2"/>
  <c r="AS56" i="2" s="1"/>
  <c r="AQ57" i="2"/>
  <c r="AS57" i="2" s="1"/>
  <c r="AQ58" i="2"/>
  <c r="AS58" i="2" s="1"/>
  <c r="AQ59" i="2"/>
  <c r="AQ60" i="2"/>
  <c r="AS60" i="2" s="1"/>
  <c r="AQ61" i="2"/>
  <c r="AS61" i="2" s="1"/>
  <c r="AQ62" i="2"/>
  <c r="AS62" i="2" s="1"/>
  <c r="AQ63" i="2"/>
  <c r="AS63" i="2" s="1"/>
  <c r="AQ64" i="2"/>
  <c r="AS64" i="2" s="1"/>
  <c r="AQ65" i="2"/>
  <c r="AS65" i="2" s="1"/>
  <c r="AQ66" i="2"/>
  <c r="AS66" i="2" s="1"/>
  <c r="AQ67" i="2"/>
  <c r="AQ68" i="2"/>
  <c r="AS68" i="2" s="1"/>
  <c r="AQ69" i="2"/>
  <c r="AS69" i="2" s="1"/>
  <c r="AQ70" i="2"/>
  <c r="AS70" i="2" s="1"/>
  <c r="AQ73" i="2"/>
  <c r="AS73" i="2" s="1"/>
  <c r="AQ74" i="2"/>
  <c r="AS74" i="2" s="1"/>
  <c r="AQ75" i="2"/>
  <c r="AS75" i="2" s="1"/>
  <c r="AQ76" i="2"/>
  <c r="AS76" i="2" s="1"/>
  <c r="AU69" i="2"/>
  <c r="AX69" i="2" s="1"/>
  <c r="AU70" i="2"/>
  <c r="AX70" i="2" s="1"/>
  <c r="AU73" i="2"/>
  <c r="AX73" i="2" s="1"/>
  <c r="AU74" i="2"/>
  <c r="AX74" i="2" s="1"/>
  <c r="AU75" i="2"/>
  <c r="AX75" i="2" s="1"/>
  <c r="K69" i="2"/>
  <c r="K70" i="2"/>
  <c r="K73" i="2"/>
  <c r="K74" i="2"/>
  <c r="K75" i="2"/>
  <c r="AR74" i="2" l="1"/>
  <c r="AT74" i="2" s="1"/>
  <c r="AR70" i="2"/>
  <c r="AT70" i="2" s="1"/>
  <c r="AR73" i="2"/>
  <c r="AT73" i="2" s="1"/>
  <c r="AS67" i="2"/>
  <c r="AS59" i="2"/>
  <c r="AR75" i="2"/>
  <c r="AT75" i="2" s="1"/>
  <c r="AR69" i="2"/>
  <c r="AT69" i="2" s="1"/>
  <c r="K68" i="2"/>
  <c r="AR68" i="2" s="1"/>
  <c r="AT68" i="2" s="1"/>
  <c r="AU68" i="2"/>
  <c r="AX68" i="2" s="1"/>
  <c r="K67" i="2"/>
  <c r="AR67" i="2" s="1"/>
  <c r="AT67" i="2" s="1"/>
  <c r="AU67" i="2"/>
  <c r="AX67" i="2" s="1"/>
  <c r="K66" i="2"/>
  <c r="AR66" i="2" s="1"/>
  <c r="AT66" i="2" s="1"/>
  <c r="AU66" i="2"/>
  <c r="AX66" i="2" s="1"/>
  <c r="K65" i="2"/>
  <c r="AR65" i="2" s="1"/>
  <c r="AT65" i="2" s="1"/>
  <c r="AU65" i="2"/>
  <c r="AX65" i="2" s="1"/>
  <c r="AU64" i="2"/>
  <c r="AX64" i="2" s="1"/>
  <c r="K64" i="2"/>
  <c r="AR64" i="2" s="1"/>
  <c r="AT64" i="2" s="1"/>
  <c r="K63" i="2"/>
  <c r="AR63" i="2" s="1"/>
  <c r="AT63" i="2" s="1"/>
  <c r="AU63" i="2"/>
  <c r="AX63" i="2" s="1"/>
  <c r="K62" i="2"/>
  <c r="AR62" i="2" s="1"/>
  <c r="AT62" i="2" s="1"/>
  <c r="AU62" i="2"/>
  <c r="AX62" i="2" s="1"/>
  <c r="K61" i="2"/>
  <c r="AR61" i="2" s="1"/>
  <c r="AT61" i="2" s="1"/>
  <c r="AU61" i="2"/>
  <c r="AX61" i="2" s="1"/>
  <c r="K60" i="2"/>
  <c r="AR60" i="2" s="1"/>
  <c r="AT60" i="2" s="1"/>
  <c r="AU60" i="2"/>
  <c r="AX60" i="2" s="1"/>
  <c r="AU59" i="2"/>
  <c r="AX59" i="2" s="1"/>
  <c r="K59" i="2"/>
  <c r="AR59" i="2" s="1"/>
  <c r="AT59" i="2" s="1"/>
  <c r="K58" i="2"/>
  <c r="AR58" i="2" s="1"/>
  <c r="AT58" i="2" s="1"/>
  <c r="AU58" i="2"/>
  <c r="AX58" i="2" s="1"/>
  <c r="K57" i="2"/>
  <c r="AR57" i="2" s="1"/>
  <c r="AT57" i="2" s="1"/>
  <c r="AU57" i="2"/>
  <c r="AX57" i="2" s="1"/>
  <c r="AU56" i="2"/>
  <c r="AX56" i="2" s="1"/>
  <c r="K56" i="2"/>
  <c r="AR56" i="2" s="1"/>
  <c r="AT56" i="2" s="1"/>
  <c r="K55" i="2"/>
  <c r="AR55" i="2" s="1"/>
  <c r="AT55" i="2" s="1"/>
  <c r="AU55" i="2"/>
  <c r="AX55" i="2" s="1"/>
  <c r="AN26" i="5" l="1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AT25" i="5"/>
  <c r="AW25" i="5" s="1"/>
  <c r="AP25" i="5"/>
  <c r="AR25" i="5" s="1"/>
  <c r="J25" i="5"/>
  <c r="AT24" i="5"/>
  <c r="AW24" i="5" s="1"/>
  <c r="AP24" i="5"/>
  <c r="AR24" i="5" s="1"/>
  <c r="J24" i="5"/>
  <c r="AT23" i="5"/>
  <c r="AW23" i="5" s="1"/>
  <c r="AP23" i="5"/>
  <c r="AR23" i="5" s="1"/>
  <c r="J23" i="5"/>
  <c r="AT22" i="5"/>
  <c r="AW22" i="5" s="1"/>
  <c r="AP22" i="5"/>
  <c r="AR22" i="5" s="1"/>
  <c r="J22" i="5"/>
  <c r="AT21" i="5"/>
  <c r="AW21" i="5" s="1"/>
  <c r="AP21" i="5"/>
  <c r="AR21" i="5" s="1"/>
  <c r="J21" i="5"/>
  <c r="AT20" i="5"/>
  <c r="AW20" i="5" s="1"/>
  <c r="AP20" i="5"/>
  <c r="AR20" i="5" s="1"/>
  <c r="J20" i="5"/>
  <c r="AT19" i="5"/>
  <c r="AW19" i="5" s="1"/>
  <c r="AP19" i="5"/>
  <c r="AR19" i="5" s="1"/>
  <c r="J19" i="5"/>
  <c r="AT16" i="5"/>
  <c r="AW16" i="5" s="1"/>
  <c r="AP16" i="5"/>
  <c r="AR16" i="5" s="1"/>
  <c r="J16" i="5"/>
  <c r="AT15" i="5"/>
  <c r="AW15" i="5" s="1"/>
  <c r="AP15" i="5"/>
  <c r="AR15" i="5" s="1"/>
  <c r="J15" i="5"/>
  <c r="AT14" i="5"/>
  <c r="AW14" i="5" s="1"/>
  <c r="AP14" i="5"/>
  <c r="AR14" i="5" s="1"/>
  <c r="J14" i="5"/>
  <c r="AT13" i="5"/>
  <c r="AW13" i="5" s="1"/>
  <c r="AP13" i="5"/>
  <c r="AR13" i="5" s="1"/>
  <c r="J13" i="5"/>
  <c r="AT12" i="5"/>
  <c r="AW12" i="5" s="1"/>
  <c r="AP12" i="5"/>
  <c r="AR12" i="5" s="1"/>
  <c r="J12" i="5"/>
  <c r="AT11" i="5"/>
  <c r="AW11" i="5" s="1"/>
  <c r="AP11" i="5"/>
  <c r="AR11" i="5" s="1"/>
  <c r="J11" i="5"/>
  <c r="AT10" i="5"/>
  <c r="AW10" i="5" s="1"/>
  <c r="AP10" i="5"/>
  <c r="AR10" i="5" s="1"/>
  <c r="J10" i="5"/>
  <c r="AT9" i="5"/>
  <c r="AW9" i="5" s="1"/>
  <c r="AP9" i="5"/>
  <c r="AR9" i="5" s="1"/>
  <c r="J9" i="5"/>
  <c r="AT8" i="5"/>
  <c r="AW8" i="5" s="1"/>
  <c r="AP8" i="5"/>
  <c r="AR8" i="5" s="1"/>
  <c r="J8" i="5"/>
  <c r="AT7" i="5"/>
  <c r="AW7" i="5" s="1"/>
  <c r="AP7" i="5"/>
  <c r="AR7" i="5" s="1"/>
  <c r="J7" i="5"/>
  <c r="AT6" i="5"/>
  <c r="AW6" i="5" s="1"/>
  <c r="AP6" i="5"/>
  <c r="AR6" i="5" s="1"/>
  <c r="J6" i="5"/>
  <c r="AT5" i="5"/>
  <c r="AW5" i="5" s="1"/>
  <c r="AP5" i="5"/>
  <c r="AR5" i="5" s="1"/>
  <c r="J5" i="5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AT20" i="4"/>
  <c r="AW20" i="4" s="1"/>
  <c r="AP20" i="4"/>
  <c r="AR20" i="4" s="1"/>
  <c r="J20" i="4"/>
  <c r="AT19" i="4"/>
  <c r="AW19" i="4" s="1"/>
  <c r="AP19" i="4"/>
  <c r="AR19" i="4" s="1"/>
  <c r="J19" i="4"/>
  <c r="AT18" i="4"/>
  <c r="AW18" i="4" s="1"/>
  <c r="AP18" i="4"/>
  <c r="AR18" i="4" s="1"/>
  <c r="J18" i="4"/>
  <c r="AT17" i="4"/>
  <c r="AW17" i="4" s="1"/>
  <c r="AP17" i="4"/>
  <c r="AR17" i="4" s="1"/>
  <c r="J17" i="4"/>
  <c r="AT16" i="4"/>
  <c r="AW16" i="4" s="1"/>
  <c r="AP16" i="4"/>
  <c r="AR16" i="4" s="1"/>
  <c r="J16" i="4"/>
  <c r="AT15" i="4"/>
  <c r="AW15" i="4" s="1"/>
  <c r="AP15" i="4"/>
  <c r="AR15" i="4" s="1"/>
  <c r="J15" i="4"/>
  <c r="AT14" i="4"/>
  <c r="AW14" i="4" s="1"/>
  <c r="AP14" i="4"/>
  <c r="AR14" i="4" s="1"/>
  <c r="AT13" i="4"/>
  <c r="AW13" i="4" s="1"/>
  <c r="AP13" i="4"/>
  <c r="AR13" i="4" s="1"/>
  <c r="J13" i="4"/>
  <c r="AT12" i="4"/>
  <c r="AW12" i="4" s="1"/>
  <c r="AP12" i="4"/>
  <c r="AR12" i="4" s="1"/>
  <c r="J12" i="4"/>
  <c r="AT11" i="4"/>
  <c r="AW11" i="4" s="1"/>
  <c r="AP11" i="4"/>
  <c r="AR11" i="4" s="1"/>
  <c r="J11" i="4"/>
  <c r="AT10" i="4"/>
  <c r="AW10" i="4" s="1"/>
  <c r="AP10" i="4"/>
  <c r="AR10" i="4" s="1"/>
  <c r="J10" i="4"/>
  <c r="AT9" i="4"/>
  <c r="AW9" i="4" s="1"/>
  <c r="AP9" i="4"/>
  <c r="AR9" i="4" s="1"/>
  <c r="J9" i="4"/>
  <c r="AT8" i="4"/>
  <c r="AW8" i="4" s="1"/>
  <c r="AP8" i="4"/>
  <c r="AR8" i="4" s="1"/>
  <c r="J8" i="4"/>
  <c r="AT7" i="4"/>
  <c r="AW7" i="4" s="1"/>
  <c r="AP7" i="4"/>
  <c r="AR7" i="4" s="1"/>
  <c r="J7" i="4"/>
  <c r="AT6" i="4"/>
  <c r="AW6" i="4" s="1"/>
  <c r="AP6" i="4"/>
  <c r="AR6" i="4" s="1"/>
  <c r="K35" i="2"/>
  <c r="AQ35" i="2"/>
  <c r="AS35" i="2" s="1"/>
  <c r="AU35" i="2"/>
  <c r="AX35" i="2" s="1"/>
  <c r="K36" i="2"/>
  <c r="AQ36" i="2"/>
  <c r="AS36" i="2" s="1"/>
  <c r="AU36" i="2"/>
  <c r="AX36" i="2" s="1"/>
  <c r="K38" i="2"/>
  <c r="AQ38" i="2"/>
  <c r="AS38" i="2" s="1"/>
  <c r="AU38" i="2"/>
  <c r="AX38" i="2" s="1"/>
  <c r="K39" i="2"/>
  <c r="AQ39" i="2"/>
  <c r="AS39" i="2" s="1"/>
  <c r="AU39" i="2"/>
  <c r="AX39" i="2" s="1"/>
  <c r="K40" i="2"/>
  <c r="AQ40" i="2"/>
  <c r="AS40" i="2" s="1"/>
  <c r="AU40" i="2"/>
  <c r="AX40" i="2" s="1"/>
  <c r="K47" i="2"/>
  <c r="AQ47" i="2"/>
  <c r="AS47" i="2" s="1"/>
  <c r="AU47" i="2"/>
  <c r="AX47" i="2" s="1"/>
  <c r="K48" i="2"/>
  <c r="AQ48" i="2"/>
  <c r="AS48" i="2" s="1"/>
  <c r="AU48" i="2"/>
  <c r="AX48" i="2" s="1"/>
  <c r="K49" i="2"/>
  <c r="AQ49" i="2"/>
  <c r="AS49" i="2" s="1"/>
  <c r="AU49" i="2"/>
  <c r="AX49" i="2" s="1"/>
  <c r="K50" i="2"/>
  <c r="AQ50" i="2"/>
  <c r="AS50" i="2" s="1"/>
  <c r="AU50" i="2"/>
  <c r="AX50" i="2" s="1"/>
  <c r="K51" i="2"/>
  <c r="AQ51" i="2"/>
  <c r="AS51" i="2" s="1"/>
  <c r="AU51" i="2"/>
  <c r="AX51" i="2" s="1"/>
  <c r="K52" i="2"/>
  <c r="AQ52" i="2"/>
  <c r="AS52" i="2" s="1"/>
  <c r="AU52" i="2"/>
  <c r="AX52" i="2" s="1"/>
  <c r="K53" i="2"/>
  <c r="AQ53" i="2"/>
  <c r="AS53" i="2" s="1"/>
  <c r="AU53" i="2"/>
  <c r="AX53" i="2" s="1"/>
  <c r="K54" i="2"/>
  <c r="AQ54" i="2"/>
  <c r="AS54" i="2" s="1"/>
  <c r="AU54" i="2"/>
  <c r="AX54" i="2" s="1"/>
  <c r="K76" i="2"/>
  <c r="AR76" i="2" s="1"/>
  <c r="AT76" i="2" s="1"/>
  <c r="AU76" i="2"/>
  <c r="AX76" i="2" s="1"/>
  <c r="K77" i="2"/>
  <c r="AQ77" i="2"/>
  <c r="AS77" i="2" s="1"/>
  <c r="AU77" i="2"/>
  <c r="AQ24" i="5" l="1"/>
  <c r="AS24" i="5" s="1"/>
  <c r="AQ23" i="5"/>
  <c r="AS23" i="5" s="1"/>
  <c r="AQ12" i="5"/>
  <c r="AS12" i="5" s="1"/>
  <c r="AQ22" i="5"/>
  <c r="AS22" i="5" s="1"/>
  <c r="AQ19" i="4"/>
  <c r="AS19" i="4" s="1"/>
  <c r="AQ16" i="4"/>
  <c r="AS16" i="4" s="1"/>
  <c r="AQ15" i="5"/>
  <c r="AS15" i="5" s="1"/>
  <c r="AQ21" i="5"/>
  <c r="AS21" i="5" s="1"/>
  <c r="AQ7" i="5"/>
  <c r="AS7" i="5" s="1"/>
  <c r="J21" i="4"/>
  <c r="F6" i="6" s="1"/>
  <c r="AR26" i="5"/>
  <c r="I7" i="6" s="1"/>
  <c r="E24" i="6" s="1"/>
  <c r="AP26" i="5"/>
  <c r="G7" i="6" s="1"/>
  <c r="AR21" i="4"/>
  <c r="I6" i="6" s="1"/>
  <c r="D24" i="6" s="1"/>
  <c r="AP21" i="4"/>
  <c r="G6" i="6" s="1"/>
  <c r="AQ16" i="5"/>
  <c r="AS16" i="5" s="1"/>
  <c r="AQ6" i="4"/>
  <c r="AS6" i="4" s="1"/>
  <c r="AQ10" i="4"/>
  <c r="AS10" i="4" s="1"/>
  <c r="J26" i="5"/>
  <c r="F7" i="6" s="1"/>
  <c r="AQ8" i="5"/>
  <c r="AS8" i="5" s="1"/>
  <c r="AQ9" i="5"/>
  <c r="AS9" i="5" s="1"/>
  <c r="AQ10" i="5"/>
  <c r="AS10" i="5" s="1"/>
  <c r="AQ19" i="5"/>
  <c r="AS19" i="5" s="1"/>
  <c r="AQ20" i="5"/>
  <c r="AS20" i="5" s="1"/>
  <c r="AQ25" i="5"/>
  <c r="AS25" i="5" s="1"/>
  <c r="AW5" i="4"/>
  <c r="AT21" i="4"/>
  <c r="K6" i="6" s="1"/>
  <c r="AX77" i="2"/>
  <c r="AT26" i="5"/>
  <c r="K7" i="6" s="1"/>
  <c r="AQ20" i="4"/>
  <c r="AS20" i="4" s="1"/>
  <c r="AQ5" i="5"/>
  <c r="AS5" i="5" s="1"/>
  <c r="AQ6" i="5"/>
  <c r="AS6" i="5" s="1"/>
  <c r="AQ7" i="4"/>
  <c r="AS7" i="4" s="1"/>
  <c r="AQ14" i="4"/>
  <c r="AS14" i="4" s="1"/>
  <c r="AQ18" i="4"/>
  <c r="AS18" i="4" s="1"/>
  <c r="AQ11" i="5"/>
  <c r="AS11" i="5" s="1"/>
  <c r="AQ13" i="5"/>
  <c r="AS13" i="5" s="1"/>
  <c r="AQ14" i="5"/>
  <c r="AS14" i="5" s="1"/>
  <c r="AR77" i="2"/>
  <c r="AR36" i="2"/>
  <c r="AT36" i="2" s="1"/>
  <c r="AR53" i="2"/>
  <c r="AT53" i="2" s="1"/>
  <c r="AR51" i="2"/>
  <c r="AT51" i="2" s="1"/>
  <c r="AR48" i="2"/>
  <c r="AT48" i="2" s="1"/>
  <c r="AR40" i="2"/>
  <c r="AT40" i="2" s="1"/>
  <c r="AR35" i="2"/>
  <c r="AT35" i="2" s="1"/>
  <c r="AR52" i="2"/>
  <c r="AT52" i="2" s="1"/>
  <c r="AR49" i="2"/>
  <c r="AT49" i="2" s="1"/>
  <c r="AR47" i="2"/>
  <c r="AT47" i="2" s="1"/>
  <c r="AR39" i="2"/>
  <c r="AT39" i="2" s="1"/>
  <c r="AR54" i="2"/>
  <c r="AT54" i="2" s="1"/>
  <c r="AR50" i="2"/>
  <c r="AT50" i="2" s="1"/>
  <c r="AR38" i="2"/>
  <c r="AT38" i="2" s="1"/>
  <c r="AQ12" i="4"/>
  <c r="AS12" i="4" s="1"/>
  <c r="AQ8" i="4"/>
  <c r="AS8" i="4" s="1"/>
  <c r="AQ9" i="4"/>
  <c r="AS9" i="4" s="1"/>
  <c r="AQ13" i="4"/>
  <c r="AS13" i="4" s="1"/>
  <c r="AQ17" i="4"/>
  <c r="AS17" i="4" s="1"/>
  <c r="AQ5" i="4"/>
  <c r="AS5" i="4" s="1"/>
  <c r="AQ11" i="4"/>
  <c r="AS11" i="4" s="1"/>
  <c r="AQ15" i="4"/>
  <c r="AS15" i="4" s="1"/>
  <c r="AS21" i="4" l="1"/>
  <c r="J6" i="6" s="1"/>
  <c r="AQ21" i="4"/>
  <c r="H6" i="6" s="1"/>
  <c r="AT77" i="2"/>
  <c r="AS26" i="5"/>
  <c r="J7" i="6" s="1"/>
  <c r="AQ26" i="5"/>
  <c r="H7" i="6" s="1"/>
  <c r="AQ34" i="2" l="1"/>
  <c r="AS34" i="2" s="1"/>
  <c r="AQ33" i="2"/>
  <c r="AS33" i="2" s="1"/>
  <c r="AQ32" i="2"/>
  <c r="AS32" i="2" s="1"/>
  <c r="AQ31" i="2"/>
  <c r="AS31" i="2" s="1"/>
  <c r="AQ30" i="2"/>
  <c r="AS30" i="2" s="1"/>
  <c r="AQ29" i="2"/>
  <c r="AS29" i="2" s="1"/>
  <c r="AQ28" i="2"/>
  <c r="AS28" i="2" s="1"/>
  <c r="AQ27" i="2"/>
  <c r="AS27" i="2" s="1"/>
  <c r="AQ26" i="2"/>
  <c r="AS26" i="2" s="1"/>
  <c r="AQ25" i="2"/>
  <c r="AS25" i="2" s="1"/>
  <c r="AQ24" i="2"/>
  <c r="AS24" i="2" s="1"/>
  <c r="AQ23" i="2"/>
  <c r="AS23" i="2" s="1"/>
  <c r="AQ22" i="2"/>
  <c r="AS22" i="2" s="1"/>
  <c r="AQ21" i="2"/>
  <c r="AS21" i="2" s="1"/>
  <c r="AQ20" i="2"/>
  <c r="AS20" i="2" s="1"/>
  <c r="AQ12" i="2"/>
  <c r="AS12" i="2" s="1"/>
  <c r="AQ11" i="2"/>
  <c r="AS11" i="2" s="1"/>
  <c r="AQ10" i="2"/>
  <c r="AS10" i="2" s="1"/>
  <c r="AU10" i="2"/>
  <c r="AU11" i="2"/>
  <c r="AX11" i="2" s="1"/>
  <c r="AU12" i="2"/>
  <c r="AX12" i="2" s="1"/>
  <c r="AU20" i="2"/>
  <c r="AX20" i="2" s="1"/>
  <c r="AU21" i="2"/>
  <c r="AX21" i="2" s="1"/>
  <c r="AU22" i="2"/>
  <c r="AX22" i="2" s="1"/>
  <c r="AU23" i="2"/>
  <c r="AX23" i="2" s="1"/>
  <c r="AU24" i="2"/>
  <c r="AX24" i="2" s="1"/>
  <c r="AU25" i="2"/>
  <c r="AX25" i="2" s="1"/>
  <c r="AU26" i="2"/>
  <c r="AX26" i="2" s="1"/>
  <c r="AU27" i="2"/>
  <c r="AX27" i="2" s="1"/>
  <c r="AU28" i="2"/>
  <c r="AX28" i="2" s="1"/>
  <c r="AU29" i="2"/>
  <c r="AX29" i="2" s="1"/>
  <c r="AU30" i="2"/>
  <c r="AX30" i="2" s="1"/>
  <c r="AU31" i="2"/>
  <c r="AX31" i="2" s="1"/>
  <c r="AU32" i="2"/>
  <c r="AX32" i="2" s="1"/>
  <c r="AU33" i="2"/>
  <c r="AX33" i="2" s="1"/>
  <c r="AU34" i="2"/>
  <c r="AX34" i="2" s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2" i="2"/>
  <c r="K5" i="2"/>
  <c r="AR5" i="2" s="1"/>
  <c r="AT5" i="2" s="1"/>
  <c r="K11" i="2"/>
  <c r="K10" i="2"/>
  <c r="K154" i="2" l="1"/>
  <c r="F5" i="6" s="1"/>
  <c r="AS154" i="2"/>
  <c r="I5" i="6" s="1"/>
  <c r="AQ154" i="2"/>
  <c r="G5" i="6" s="1"/>
  <c r="AX10" i="2"/>
  <c r="AX154" i="2" s="1"/>
  <c r="AU154" i="2"/>
  <c r="K5" i="6" s="1"/>
  <c r="K8" i="6" s="1"/>
  <c r="AR26" i="2"/>
  <c r="AT26" i="2" s="1"/>
  <c r="AR12" i="2"/>
  <c r="AT12" i="2" s="1"/>
  <c r="AR33" i="2"/>
  <c r="AT33" i="2" s="1"/>
  <c r="AR23" i="2"/>
  <c r="AT23" i="2" s="1"/>
  <c r="AR28" i="2"/>
  <c r="AT28" i="2" s="1"/>
  <c r="AR21" i="2"/>
  <c r="AT21" i="2" s="1"/>
  <c r="AR30" i="2"/>
  <c r="AT30" i="2" s="1"/>
  <c r="AR25" i="2"/>
  <c r="AR32" i="2"/>
  <c r="AT32" i="2" s="1"/>
  <c r="AR20" i="2"/>
  <c r="AT20" i="2" s="1"/>
  <c r="AR22" i="2"/>
  <c r="AT22" i="2" s="1"/>
  <c r="AR24" i="2"/>
  <c r="AT24" i="2" s="1"/>
  <c r="AR27" i="2"/>
  <c r="AT27" i="2" s="1"/>
  <c r="AR29" i="2"/>
  <c r="AT29" i="2" s="1"/>
  <c r="AR31" i="2"/>
  <c r="AT31" i="2" s="1"/>
  <c r="AR34" i="2"/>
  <c r="AT34" i="2" s="1"/>
  <c r="AR10" i="2"/>
  <c r="AT10" i="2" s="1"/>
  <c r="AR11" i="2"/>
  <c r="AT11" i="2" s="1"/>
  <c r="F23" i="6" l="1"/>
  <c r="C24" i="6"/>
  <c r="F24" i="6" s="1"/>
  <c r="F19" i="6"/>
  <c r="I8" i="6"/>
  <c r="AT25" i="2"/>
  <c r="AT154" i="2" s="1"/>
  <c r="J5" i="6" s="1"/>
  <c r="AR154" i="2"/>
  <c r="H5" i="6" s="1"/>
  <c r="F18" i="6" l="1"/>
  <c r="J8" i="6"/>
  <c r="L4" i="2"/>
  <c r="L3" i="2" s="1"/>
  <c r="K4" i="4" l="1"/>
  <c r="M4" i="2"/>
  <c r="K4" i="5"/>
  <c r="C1" i="6"/>
  <c r="A1" i="2"/>
  <c r="M3" i="2" l="1"/>
  <c r="N4" i="2"/>
  <c r="A1" i="5"/>
  <c r="K3" i="5"/>
  <c r="L4" i="5"/>
  <c r="L4" i="4"/>
  <c r="A1" i="4"/>
  <c r="K3" i="4"/>
  <c r="L3" i="5" l="1"/>
  <c r="M4" i="5"/>
  <c r="L3" i="4"/>
  <c r="M4" i="4"/>
  <c r="N3" i="2"/>
  <c r="O4" i="2"/>
  <c r="M3" i="4" l="1"/>
  <c r="N4" i="4"/>
  <c r="O3" i="2"/>
  <c r="P4" i="2"/>
  <c r="N4" i="5"/>
  <c r="M3" i="5"/>
  <c r="N3" i="5" l="1"/>
  <c r="O4" i="5"/>
  <c r="P3" i="2"/>
  <c r="Q4" i="2"/>
  <c r="N3" i="4"/>
  <c r="O4" i="4"/>
  <c r="Q3" i="2" l="1"/>
  <c r="R4" i="2"/>
  <c r="P4" i="4"/>
  <c r="O3" i="4"/>
  <c r="O3" i="5"/>
  <c r="P4" i="5"/>
  <c r="P3" i="4" l="1"/>
  <c r="Q4" i="4"/>
  <c r="Q4" i="5"/>
  <c r="P3" i="5"/>
  <c r="R3" i="2"/>
  <c r="S4" i="2"/>
  <c r="R4" i="5" l="1"/>
  <c r="Q3" i="5"/>
  <c r="S3" i="2"/>
  <c r="T4" i="2"/>
  <c r="Q3" i="4"/>
  <c r="R4" i="4"/>
  <c r="T3" i="2" l="1"/>
  <c r="U4" i="2"/>
  <c r="R3" i="4"/>
  <c r="S4" i="4"/>
  <c r="R3" i="5"/>
  <c r="S4" i="5"/>
  <c r="T4" i="4" l="1"/>
  <c r="S3" i="4"/>
  <c r="S3" i="5"/>
  <c r="T4" i="5"/>
  <c r="U3" i="2"/>
  <c r="V4" i="2"/>
  <c r="U4" i="5" l="1"/>
  <c r="T3" i="5"/>
  <c r="W4" i="2"/>
  <c r="V3" i="2"/>
  <c r="T3" i="4"/>
  <c r="U4" i="4"/>
  <c r="W3" i="2" l="1"/>
  <c r="X4" i="2"/>
  <c r="V4" i="4"/>
  <c r="U3" i="4"/>
  <c r="V4" i="5"/>
  <c r="U3" i="5"/>
  <c r="Y4" i="2" l="1"/>
  <c r="X3" i="2"/>
  <c r="V3" i="4"/>
  <c r="W4" i="4"/>
  <c r="V3" i="5"/>
  <c r="W4" i="5"/>
  <c r="X4" i="4" l="1"/>
  <c r="W3" i="4"/>
  <c r="W3" i="5"/>
  <c r="X4" i="5"/>
  <c r="Y3" i="2"/>
  <c r="Z4" i="2"/>
  <c r="Y4" i="5" l="1"/>
  <c r="X3" i="5"/>
  <c r="Z3" i="2"/>
  <c r="AA4" i="2"/>
  <c r="Y4" i="4"/>
  <c r="X3" i="4"/>
  <c r="AA3" i="2" l="1"/>
  <c r="AB4" i="2"/>
  <c r="Y3" i="4"/>
  <c r="Z4" i="4"/>
  <c r="Y3" i="5"/>
  <c r="Z4" i="5"/>
  <c r="Z3" i="5" l="1"/>
  <c r="AA4" i="5"/>
  <c r="AB3" i="2"/>
  <c r="AC4" i="2"/>
  <c r="Z3" i="4"/>
  <c r="AA4" i="4"/>
  <c r="AC3" i="2" l="1"/>
  <c r="AD4" i="2"/>
  <c r="AA3" i="4"/>
  <c r="AB4" i="4"/>
  <c r="AA3" i="5"/>
  <c r="AB4" i="5"/>
  <c r="AB3" i="4" l="1"/>
  <c r="AC4" i="4"/>
  <c r="AC4" i="5"/>
  <c r="AB3" i="5"/>
  <c r="AD3" i="2"/>
  <c r="AE4" i="2"/>
  <c r="AD4" i="5" l="1"/>
  <c r="AC3" i="5"/>
  <c r="AE3" i="2"/>
  <c r="AF4" i="2"/>
  <c r="AC3" i="4"/>
  <c r="AD4" i="4"/>
  <c r="AD3" i="4" l="1"/>
  <c r="AE4" i="4"/>
  <c r="AF3" i="2"/>
  <c r="AG4" i="2"/>
  <c r="AD3" i="5"/>
  <c r="AE4" i="5"/>
  <c r="AG3" i="2" l="1"/>
  <c r="AH4" i="2"/>
  <c r="AE3" i="5"/>
  <c r="AF4" i="5"/>
  <c r="AF4" i="4"/>
  <c r="AE3" i="4"/>
  <c r="AG4" i="4" l="1"/>
  <c r="AF3" i="4"/>
  <c r="AG4" i="5"/>
  <c r="AF3" i="5"/>
  <c r="AH3" i="2"/>
  <c r="AI4" i="2"/>
  <c r="AI3" i="2" l="1"/>
  <c r="AJ4" i="2"/>
  <c r="AG3" i="5"/>
  <c r="AH4" i="5"/>
  <c r="AG3" i="4"/>
  <c r="AH4" i="4"/>
  <c r="AH3" i="5" l="1"/>
  <c r="AI4" i="5"/>
  <c r="AH3" i="4"/>
  <c r="AI4" i="4"/>
  <c r="AK4" i="2"/>
  <c r="AJ3" i="2"/>
  <c r="AK3" i="2" l="1"/>
  <c r="AL4" i="2"/>
  <c r="AI3" i="4"/>
  <c r="AJ4" i="4"/>
  <c r="AI3" i="5"/>
  <c r="AJ4" i="5"/>
  <c r="AJ3" i="4" l="1"/>
  <c r="AK4" i="4"/>
  <c r="AK4" i="5"/>
  <c r="AJ3" i="5"/>
  <c r="AL3" i="2"/>
  <c r="AM4" i="2"/>
  <c r="AK3" i="5" l="1"/>
  <c r="AL4" i="5"/>
  <c r="AM3" i="2"/>
  <c r="AN4" i="2"/>
  <c r="AL4" i="4"/>
  <c r="AK3" i="4"/>
  <c r="AL3" i="4" l="1"/>
  <c r="AM4" i="4"/>
  <c r="AO4" i="2"/>
  <c r="AN3" i="2"/>
  <c r="AM4" i="5"/>
  <c r="AL3" i="5"/>
  <c r="AP4" i="2" l="1"/>
  <c r="AP3" i="2" s="1"/>
  <c r="AO3" i="2"/>
  <c r="AN4" i="4"/>
  <c r="AM3" i="4"/>
  <c r="AN4" i="5"/>
  <c r="AM3" i="5"/>
  <c r="AO4" i="4" l="1"/>
  <c r="AO3" i="4" s="1"/>
  <c r="AN3" i="4"/>
  <c r="AN3" i="5"/>
  <c r="AO4" i="5"/>
  <c r="AO3" i="5" s="1"/>
</calcChain>
</file>

<file path=xl/sharedStrings.xml><?xml version="1.0" encoding="utf-8"?>
<sst xmlns="http://schemas.openxmlformats.org/spreadsheetml/2006/main" count="300" uniqueCount="45">
  <si>
    <t>Sr. No.</t>
  </si>
  <si>
    <t>Particulars</t>
  </si>
  <si>
    <t>Units</t>
  </si>
  <si>
    <t>Rate</t>
  </si>
  <si>
    <t>Opening</t>
  </si>
  <si>
    <t xml:space="preserve">Order  </t>
  </si>
  <si>
    <t>Total Stock</t>
  </si>
  <si>
    <t>Total</t>
  </si>
  <si>
    <t>Type</t>
  </si>
  <si>
    <t>Usage Amount</t>
  </si>
  <si>
    <t>Closing Amount</t>
  </si>
  <si>
    <t>Closing    Stock</t>
  </si>
  <si>
    <t>Usage  Stock</t>
  </si>
  <si>
    <t>Purchase Date</t>
  </si>
  <si>
    <t>Bills</t>
  </si>
  <si>
    <t>View Bill</t>
  </si>
  <si>
    <t>Dry Goods</t>
  </si>
  <si>
    <t>Spices &amp; Seasonings</t>
  </si>
  <si>
    <t>Oils &amp; Condiments</t>
  </si>
  <si>
    <t>Vegetables</t>
  </si>
  <si>
    <t>Fruits</t>
  </si>
  <si>
    <t>Dairy</t>
  </si>
  <si>
    <t>Eggs &amp; Protein</t>
  </si>
  <si>
    <t>Beverages</t>
  </si>
  <si>
    <t>Bakery &amp; Snacks</t>
  </si>
  <si>
    <t>Cleaning &amp; Utility Items</t>
  </si>
  <si>
    <t>Shop Name</t>
  </si>
  <si>
    <t>Order Amount</t>
  </si>
  <si>
    <t>CGST</t>
  </si>
  <si>
    <t>SGST</t>
  </si>
  <si>
    <t>Order Amount With GST</t>
  </si>
  <si>
    <t>Auto</t>
  </si>
  <si>
    <t>DC Invoice No.</t>
  </si>
  <si>
    <t>Guesthouse Grocery Purchase</t>
  </si>
  <si>
    <t>Guesthouse Bottle Consu.</t>
  </si>
  <si>
    <t>Guesthouse Hukka Consu.</t>
  </si>
  <si>
    <t>SheetTool</t>
  </si>
  <si>
    <t>Month</t>
  </si>
  <si>
    <t>Grocery Usage Amt</t>
  </si>
  <si>
    <t>Bottle Usage Amt</t>
  </si>
  <si>
    <t>Hukka Usage Amt</t>
  </si>
  <si>
    <t xml:space="preserve">Note: </t>
  </si>
  <si>
    <t>Total Usage</t>
  </si>
  <si>
    <t>TOTAL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</si>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</sst>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\ mmm\ yy"/>
    <numFmt numFmtId="165" formatCode="* #,##0.00\ ;* \-#,##0.00\ ;* \-#\ ;@\ "/>
    <numFmt numFmtId="166" formatCode="dd/mmm/yy;@"/>
    <numFmt numFmtId="167" formatCode="* #,##0\ ;* \-#,##0\ ;* \-#\ ;@\ "/>
    <numFmt numFmtId="168" formatCode="d/mmm;@"/>
    <numFmt numFmtId="169" formatCode="#,##0\ ;\-#,##0\ ;\-#\ ;@\ "/>
    <numFmt numFmtId="170" formatCode="[$-F800]dddd\,\ mmmm\ dd\,\ yyyy"/>
    <numFmt numFmtId="171" formatCode="#,##0.00\ ;\-#,##0.00\ ;\-#.00\ ;@\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6"/>
      <name val="Palatino Linotype"/>
      <family val="1"/>
    </font>
    <font>
      <sz val="9"/>
      <name val="Calibri"/>
      <family val="2"/>
    </font>
    <font>
      <sz val="8"/>
      <color rgb="FF000000"/>
      <name val="Calibri"/>
      <family val="2"/>
      <charset val="1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5" fontId="2" fillId="0" borderId="0" applyBorder="0" applyProtection="0"/>
    <xf numFmtId="43" fontId="9" fillId="0" borderId="0" applyFont="0" applyFill="0" applyBorder="0" applyAlignment="0" applyProtection="0"/>
  </cellStyleXfs>
  <cellXfs count="83">
    <xf numFmtId="0" fontId="0" fillId="0" borderId="0" xfId="0"/>
    <xf numFmtId="0" fontId="4" fillId="0" borderId="0" xfId="1" applyFont="1"/>
    <xf numFmtId="164" fontId="4" fillId="0" borderId="0" xfId="1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top" wrapText="1"/>
    </xf>
    <xf numFmtId="0" fontId="4" fillId="0" borderId="0" xfId="1" applyFont="1" applyAlignment="1">
      <alignment horizontal="center" vertical="center"/>
    </xf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top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/>
    </xf>
    <xf numFmtId="166" fontId="6" fillId="0" borderId="0" xfId="2" applyNumberFormat="1" applyFont="1" applyBorder="1" applyAlignment="1" applyProtection="1">
      <alignment horizontal="left" vertical="center"/>
    </xf>
    <xf numFmtId="0" fontId="6" fillId="0" borderId="0" xfId="1" applyFont="1" applyAlignment="1">
      <alignment horizontal="center"/>
    </xf>
    <xf numFmtId="0" fontId="6" fillId="2" borderId="4" xfId="1" applyFont="1" applyFill="1" applyBorder="1" applyAlignment="1">
      <alignment horizontal="center" vertical="center" textRotation="90"/>
    </xf>
    <xf numFmtId="0" fontId="6" fillId="2" borderId="5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167" fontId="6" fillId="2" borderId="5" xfId="2" applyNumberFormat="1" applyFont="1" applyFill="1" applyBorder="1" applyAlignment="1" applyProtection="1">
      <alignment horizontal="left" vertical="center" wrapText="1"/>
    </xf>
    <xf numFmtId="167" fontId="6" fillId="2" borderId="5" xfId="2" applyNumberFormat="1" applyFont="1" applyFill="1" applyBorder="1" applyAlignment="1" applyProtection="1">
      <alignment horizontal="center" vertical="center" wrapText="1"/>
    </xf>
    <xf numFmtId="165" fontId="6" fillId="2" borderId="5" xfId="2" applyFont="1" applyFill="1" applyBorder="1" applyAlignment="1" applyProtection="1">
      <alignment horizontal="center" vertical="center" wrapText="1"/>
    </xf>
    <xf numFmtId="168" fontId="7" fillId="2" borderId="5" xfId="2" applyNumberFormat="1" applyFont="1" applyFill="1" applyBorder="1" applyAlignment="1" applyProtection="1">
      <alignment horizontal="center" vertical="center" textRotation="90" wrapText="1"/>
    </xf>
    <xf numFmtId="166" fontId="6" fillId="2" borderId="5" xfId="2" applyNumberFormat="1" applyFont="1" applyFill="1" applyBorder="1" applyAlignment="1" applyProtection="1">
      <alignment horizontal="center" vertical="center" wrapText="1"/>
    </xf>
    <xf numFmtId="1" fontId="7" fillId="2" borderId="5" xfId="2" applyNumberFormat="1" applyFont="1" applyFill="1" applyBorder="1" applyAlignment="1" applyProtection="1">
      <alignment horizontal="center"/>
    </xf>
    <xf numFmtId="0" fontId="2" fillId="0" borderId="5" xfId="1" applyBorder="1" applyAlignment="1">
      <alignment horizontal="center" vertical="center"/>
    </xf>
    <xf numFmtId="0" fontId="2" fillId="0" borderId="5" xfId="1" applyBorder="1" applyAlignment="1">
      <alignment horizontal="center"/>
    </xf>
    <xf numFmtId="4" fontId="2" fillId="0" borderId="5" xfId="1" applyNumberFormat="1" applyBorder="1" applyAlignment="1">
      <alignment horizontal="center" vertical="center"/>
    </xf>
    <xf numFmtId="1" fontId="8" fillId="0" borderId="5" xfId="1" applyNumberFormat="1" applyFont="1" applyBorder="1" applyAlignment="1">
      <alignment horizontal="center"/>
    </xf>
    <xf numFmtId="169" fontId="7" fillId="0" borderId="5" xfId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0" fillId="0" borderId="5" xfId="2" applyNumberFormat="1" applyFont="1" applyBorder="1" applyAlignment="1" applyProtection="1">
      <alignment horizontal="center"/>
    </xf>
    <xf numFmtId="0" fontId="4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top"/>
    </xf>
    <xf numFmtId="0" fontId="2" fillId="0" borderId="0" xfId="1"/>
    <xf numFmtId="1" fontId="7" fillId="2" borderId="6" xfId="2" applyNumberFormat="1" applyFont="1" applyFill="1" applyBorder="1" applyAlignment="1" applyProtection="1">
      <alignment horizontal="center"/>
    </xf>
    <xf numFmtId="170" fontId="7" fillId="2" borderId="5" xfId="1" applyNumberFormat="1" applyFont="1" applyFill="1" applyBorder="1" applyAlignment="1">
      <alignment horizontal="center" vertical="center" wrapText="1"/>
    </xf>
    <xf numFmtId="168" fontId="7" fillId="3" borderId="5" xfId="2" applyNumberFormat="1" applyFont="1" applyFill="1" applyBorder="1" applyAlignment="1" applyProtection="1">
      <alignment horizontal="center" vertical="center" textRotation="90" wrapText="1"/>
    </xf>
    <xf numFmtId="0" fontId="1" fillId="0" borderId="0" xfId="0" applyFont="1"/>
    <xf numFmtId="167" fontId="6" fillId="4" borderId="5" xfId="2" applyNumberFormat="1" applyFont="1" applyFill="1" applyBorder="1" applyAlignment="1" applyProtection="1">
      <alignment horizontal="center" vertical="center" wrapText="1"/>
    </xf>
    <xf numFmtId="171" fontId="7" fillId="0" borderId="5" xfId="1" applyNumberFormat="1" applyFont="1" applyBorder="1" applyAlignment="1">
      <alignment horizontal="center" vertical="center"/>
    </xf>
    <xf numFmtId="171" fontId="5" fillId="0" borderId="5" xfId="1" applyNumberFormat="1" applyFont="1" applyBorder="1" applyAlignment="1">
      <alignment horizontal="center"/>
    </xf>
    <xf numFmtId="171" fontId="6" fillId="2" borderId="5" xfId="1" applyNumberFormat="1" applyFont="1" applyFill="1" applyBorder="1" applyAlignment="1">
      <alignment horizontal="center" vertical="center"/>
    </xf>
    <xf numFmtId="0" fontId="0" fillId="0" borderId="5" xfId="0" applyBorder="1"/>
    <xf numFmtId="169" fontId="5" fillId="0" borderId="5" xfId="1" applyNumberFormat="1" applyFont="1" applyBorder="1" applyAlignment="1">
      <alignment horizontal="center"/>
    </xf>
    <xf numFmtId="169" fontId="6" fillId="2" borderId="5" xfId="1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43" fontId="0" fillId="0" borderId="5" xfId="3" applyFont="1" applyBorder="1" applyAlignment="1">
      <alignment horizontal="center" vertical="center"/>
    </xf>
    <xf numFmtId="14" fontId="1" fillId="5" borderId="5" xfId="0" applyNumberFormat="1" applyFont="1" applyFill="1" applyBorder="1" applyAlignment="1" applyProtection="1">
      <alignment horizontal="center" vertical="center"/>
      <protection locked="0"/>
    </xf>
    <xf numFmtId="169" fontId="10" fillId="0" borderId="5" xfId="1" applyNumberFormat="1" applyFont="1" applyBorder="1" applyAlignment="1">
      <alignment horizontal="center"/>
    </xf>
    <xf numFmtId="1" fontId="8" fillId="6" borderId="5" xfId="1" applyNumberFormat="1" applyFont="1" applyFill="1" applyBorder="1" applyAlignment="1">
      <alignment horizontal="center"/>
    </xf>
    <xf numFmtId="0" fontId="2" fillId="7" borderId="5" xfId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43" fontId="0" fillId="0" borderId="5" xfId="3" applyFont="1" applyBorder="1"/>
    <xf numFmtId="0" fontId="0" fillId="0" borderId="5" xfId="0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43" fontId="0" fillId="0" borderId="5" xfId="0" applyNumberFormat="1" applyBorder="1"/>
    <xf numFmtId="0" fontId="0" fillId="0" borderId="0" xfId="1" applyFont="1"/>
    <xf numFmtId="17" fontId="0" fillId="0" borderId="9" xfId="0" applyNumberFormat="1" applyBorder="1" applyAlignment="1">
      <alignment horizontal="center" vertical="center"/>
    </xf>
    <xf numFmtId="43" fontId="0" fillId="0" borderId="9" xfId="3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3" fontId="1" fillId="2" borderId="5" xfId="3" applyFont="1" applyFill="1" applyBorder="1" applyAlignment="1">
      <alignment horizontal="center" vertical="center"/>
    </xf>
    <xf numFmtId="4" fontId="0" fillId="0" borderId="5" xfId="2" applyNumberFormat="1" applyFont="1" applyBorder="1" applyAlignment="1" applyProtection="1">
      <alignment horizontal="center"/>
    </xf>
    <xf numFmtId="4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" fillId="8" borderId="0" xfId="0" applyFont="1" applyFill="1" applyAlignment="1" applyProtection="1">
      <alignment horizontal="center" vertical="top" wrapText="1"/>
      <protection locked="0"/>
    </xf>
    <xf numFmtId="167" fontId="6" fillId="2" borderId="6" xfId="2" applyNumberFormat="1" applyFont="1" applyFill="1" applyBorder="1" applyAlignment="1" applyProtection="1">
      <alignment horizontal="center" vertical="center" wrapText="1"/>
    </xf>
    <xf numFmtId="167" fontId="6" fillId="2" borderId="7" xfId="2" applyNumberFormat="1" applyFont="1" applyFill="1" applyBorder="1" applyAlignment="1" applyProtection="1">
      <alignment horizontal="center" vertical="center" wrapText="1"/>
    </xf>
    <xf numFmtId="167" fontId="6" fillId="2" borderId="8" xfId="2" applyNumberFormat="1" applyFont="1" applyFill="1" applyBorder="1" applyAlignment="1" applyProtection="1">
      <alignment horizontal="center" vertical="center" wrapText="1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</cellXfs>
  <cellStyles count="4">
    <cellStyle name="Comma" xfId="3" builtinId="3"/>
    <cellStyle name="Comma 2" xfId="2" xr:uid="{00000000-0005-0000-0000-000001000000}"/>
    <cellStyle name="Normal" xfId="0" builtinId="0"/>
    <cellStyle name="Normal 2" xfId="1" xr:uid="{00000000-0005-0000-0000-000003000000}"/>
  </cellStyles>
  <dxfs count="18"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numFmt numFmtId="35" formatCode="_ * #,##0.00_ ;_ * \-#,##0.0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cap="all" baseline="0">
                <a:effectLst/>
              </a:rPr>
              <a:t>Monthly Usage Amt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Summary!$C$14</c:f>
              <c:strCache>
                <c:ptCount val="1"/>
                <c:pt idx="0">
                  <c:v>Grocery Usage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Summary!$B$15:$B$26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Summary!$C$15:$C$26</c:f>
              <c:numCache>
                <c:formatCode>_(* #,##0.00_);_(* \(#,##0.00\);_(* "-"??_);_(@_)</c:formatCode>
                <c:ptCount val="12"/>
                <c:pt idx="0">
                  <c:v>33786.31</c:v>
                </c:pt>
                <c:pt idx="1">
                  <c:v>3624</c:v>
                </c:pt>
                <c:pt idx="2">
                  <c:v>35380.81</c:v>
                </c:pt>
                <c:pt idx="3">
                  <c:v>22121.72</c:v>
                </c:pt>
                <c:pt idx="4">
                  <c:v>23860.080000000002</c:v>
                </c:pt>
                <c:pt idx="5">
                  <c:v>13226</c:v>
                </c:pt>
                <c:pt idx="6" formatCode="#,##0.00">
                  <c:v>15051.59</c:v>
                </c:pt>
                <c:pt idx="7" formatCode="#,##0.00">
                  <c:v>9468</c:v>
                </c:pt>
                <c:pt idx="8">
                  <c:v>18819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E-4175-8BB5-3E9D95007194}"/>
            </c:ext>
          </c:extLst>
        </c:ser>
        <c:ser>
          <c:idx val="1"/>
          <c:order val="1"/>
          <c:tx>
            <c:strRef>
              <c:f>Summary!$D$14</c:f>
              <c:strCache>
                <c:ptCount val="1"/>
                <c:pt idx="0">
                  <c:v>Bottle Usage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Summary!$B$15:$B$26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Summary!$D$15:$D$26</c:f>
              <c:numCache>
                <c:formatCode>_(* #,##0.00_);_(* \(#,##0.00\);_(* "-"??_);_(@_)</c:formatCode>
                <c:ptCount val="12"/>
                <c:pt idx="0">
                  <c:v>193285</c:v>
                </c:pt>
                <c:pt idx="1">
                  <c:v>19000</c:v>
                </c:pt>
                <c:pt idx="2">
                  <c:v>29700</c:v>
                </c:pt>
                <c:pt idx="3">
                  <c:v>29700</c:v>
                </c:pt>
                <c:pt idx="4">
                  <c:v>46625</c:v>
                </c:pt>
                <c:pt idx="5">
                  <c:v>12955</c:v>
                </c:pt>
                <c:pt idx="6">
                  <c:v>1000</c:v>
                </c:pt>
                <c:pt idx="7">
                  <c:v>10250</c:v>
                </c:pt>
                <c:pt idx="8">
                  <c:v>59450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E-4175-8BB5-3E9D95007194}"/>
            </c:ext>
          </c:extLst>
        </c:ser>
        <c:ser>
          <c:idx val="2"/>
          <c:order val="2"/>
          <c:tx>
            <c:strRef>
              <c:f>Summary!$E$14</c:f>
              <c:strCache>
                <c:ptCount val="1"/>
                <c:pt idx="0">
                  <c:v>Hukka Usage Amt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Summary!$B$15:$B$26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Summary!$E$15:$E$26</c:f>
              <c:numCache>
                <c:formatCode>_(* #,##0.00_);_(* \(#,##0.00\);_(* "-"??_);_(@_)</c:formatCode>
                <c:ptCount val="12"/>
                <c:pt idx="0">
                  <c:v>3780</c:v>
                </c:pt>
                <c:pt idx="1">
                  <c:v>3190</c:v>
                </c:pt>
                <c:pt idx="2">
                  <c:v>18410</c:v>
                </c:pt>
                <c:pt idx="3">
                  <c:v>9170</c:v>
                </c:pt>
                <c:pt idx="4">
                  <c:v>20620</c:v>
                </c:pt>
                <c:pt idx="5">
                  <c:v>7600</c:v>
                </c:pt>
                <c:pt idx="6">
                  <c:v>10700</c:v>
                </c:pt>
                <c:pt idx="7">
                  <c:v>2880</c:v>
                </c:pt>
                <c:pt idx="8">
                  <c:v>14710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E-4175-8BB5-3E9D95007194}"/>
            </c:ext>
          </c:extLst>
        </c:ser>
        <c:ser>
          <c:idx val="3"/>
          <c:order val="3"/>
          <c:tx>
            <c:strRef>
              <c:f>Summary!$F$14</c:f>
              <c:strCache>
                <c:ptCount val="1"/>
                <c:pt idx="0">
                  <c:v>Total Usage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Summary!$B$15:$B$26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Summary!$F$15:$F$26</c:f>
              <c:numCache>
                <c:formatCode>_(* #,##0.00_);_(* \(#,##0.00\);_(* "-"??_);_(@_)</c:formatCode>
                <c:ptCount val="12"/>
                <c:pt idx="0">
                  <c:v>230851.31</c:v>
                </c:pt>
                <c:pt idx="1">
                  <c:v>25814</c:v>
                </c:pt>
                <c:pt idx="2">
                  <c:v>83490.81</c:v>
                </c:pt>
                <c:pt idx="3">
                  <c:v>60991.72</c:v>
                </c:pt>
                <c:pt idx="4">
                  <c:v>91105.08</c:v>
                </c:pt>
                <c:pt idx="5">
                  <c:v>33781</c:v>
                </c:pt>
                <c:pt idx="6">
                  <c:v>26751.59</c:v>
                </c:pt>
                <c:pt idx="7">
                  <c:v>22598</c:v>
                </c:pt>
                <c:pt idx="8">
                  <c:v>92979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6-410A-9D13-1B6969CE6B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22120576"/>
        <c:axId val="222146944"/>
      </c:barChart>
      <c:dateAx>
        <c:axId val="222120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46944"/>
        <c:crosses val="autoZero"/>
        <c:auto val="1"/>
        <c:lblOffset val="100"/>
        <c:baseTimeUnit val="months"/>
      </c:dateAx>
      <c:valAx>
        <c:axId val="22214694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2221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12</xdr:row>
      <xdr:rowOff>123825</xdr:rowOff>
    </xdr:from>
    <xdr:to>
      <xdr:col>15</xdr:col>
      <xdr:colOff>466725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3</xdr:row>
      <xdr:rowOff>114300</xdr:rowOff>
    </xdr:from>
    <xdr:to>
      <xdr:col>15</xdr:col>
      <xdr:colOff>171450</xdr:colOff>
      <xdr:row>4</xdr:row>
      <xdr:rowOff>133350</xdr:rowOff>
    </xdr:to>
    <xdr:sp macro="[0]!CleanSheet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458325" y="790575"/>
          <a:ext cx="1790700" cy="342900"/>
        </a:xfrm>
        <a:prstGeom prst="roundRect">
          <a:avLst/>
        </a:prstGeom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Clean the</a:t>
          </a:r>
          <a:r>
            <a:rPr lang="en-IN" sz="1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Sheet &amp; Nxt Month</a:t>
          </a:r>
          <a:endParaRPr lang="en-IN" sz="1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gvfs02\Users\17185\AppData\Local\Microsoft\Windows\Temporary%20Internet%20Files\Content.Outlook\YEDF52K5\HK%20Attendance%20Sheet%20Aug'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ance"/>
      <sheetName val="Shift"/>
      <sheetName val="Validation"/>
      <sheetName val="Report"/>
      <sheetName val="HK Attendance Sheet Aug'2020"/>
      <sheetName val="Sheet_Suppor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4:F26" totalsRowShown="0" headerRowDxfId="17" headerRowBorderDxfId="16" tableBorderDxfId="15">
  <tableColumns count="5">
    <tableColumn id="1" xr3:uid="{00000000-0010-0000-0000-000001000000}" name="Month" dataDxfId="14"/>
    <tableColumn id="2" xr3:uid="{00000000-0010-0000-0000-000002000000}" name="Grocery Usage Amt" dataDxfId="13"/>
    <tableColumn id="3" xr3:uid="{00000000-0010-0000-0000-000003000000}" name="Bottle Usage Amt" dataDxfId="12"/>
    <tableColumn id="4" xr3:uid="{00000000-0010-0000-0000-000004000000}" name="Hukka Usage Amt" dataDxfId="11"/>
    <tableColumn id="5" xr3:uid="{00000000-0010-0000-0000-000005000000}" name="Total Usage" dataDxfId="10">
      <calculatedColumnFormula>Table1[[#This Row],[Hukka Usage Amt]]+Table1[[#This Row],[Bottle Usage Amt]]+Table1[[#This Row],[Grocery Usage Amt]]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A1:Q29"/>
  <sheetViews>
    <sheetView showGridLines="0" tabSelected="1" workbookViewId="0">
      <selection activeCell="B4" sqref="B4"/>
    </sheetView>
  </sheetViews>
  <sheetFormatPr defaultColWidth="0" defaultRowHeight="15" zeroHeight="1" x14ac:dyDescent="0.25"/>
  <cols>
    <col min="1" max="2" width="9.140625" customWidth="1"/>
    <col min="3" max="3" width="11.5703125" bestFit="1" customWidth="1"/>
    <col min="4" max="4" width="24.7109375" bestFit="1" customWidth="1"/>
    <col min="5" max="5" width="11.5703125" bestFit="1" customWidth="1"/>
    <col min="6" max="6" width="11.5703125" customWidth="1"/>
    <col min="7" max="7" width="11" bestFit="1" customWidth="1"/>
    <col min="8" max="8" width="8.140625" customWidth="1"/>
    <col min="9" max="9" width="10" bestFit="1" customWidth="1"/>
    <col min="10" max="10" width="11.7109375" customWidth="1"/>
    <col min="11" max="11" width="12.28515625" customWidth="1"/>
    <col min="12" max="13" width="10.42578125" bestFit="1" customWidth="1"/>
    <col min="14" max="14" width="3.28515625" customWidth="1"/>
    <col min="15" max="15" width="11.140625" customWidth="1"/>
    <col min="16" max="16" width="9.140625" customWidth="1"/>
    <col min="17" max="17" width="1.85546875" customWidth="1"/>
    <col min="18" max="16384" width="9.140625" hidden="1"/>
  </cols>
  <sheetData>
    <row r="1" spans="2:15" ht="23.25" thickBot="1" x14ac:dyDescent="0.3">
      <c r="C1" s="73" t="str">
        <f>"GuestVilla Summary of "&amp; TEXT('Grocery Purchase'!$L$4," MMM YY")</f>
        <v>GuestVilla Summary of  Jan 26</v>
      </c>
      <c r="D1" s="74"/>
      <c r="E1" s="74"/>
      <c r="F1" s="74"/>
      <c r="G1" s="74"/>
      <c r="H1" s="74"/>
      <c r="I1" s="74"/>
      <c r="J1" s="74"/>
      <c r="K1" s="74"/>
      <c r="L1" s="74"/>
      <c r="M1" s="75"/>
    </row>
    <row r="2" spans="2:15" x14ac:dyDescent="0.25">
      <c r="M2" s="60" t="s">
        <v>36</v>
      </c>
    </row>
    <row r="3" spans="2:15" x14ac:dyDescent="0.25">
      <c r="L3" s="72"/>
      <c r="M3" s="52">
        <v>46023</v>
      </c>
      <c r="O3" s="72"/>
    </row>
    <row r="4" spans="2:15" ht="25.5" x14ac:dyDescent="0.25">
      <c r="E4" s="18" t="s">
        <v>5</v>
      </c>
      <c r="F4" s="19" t="s">
        <v>6</v>
      </c>
      <c r="G4" s="21" t="s">
        <v>12</v>
      </c>
      <c r="H4" s="21" t="s">
        <v>11</v>
      </c>
      <c r="I4" s="21" t="s">
        <v>9</v>
      </c>
      <c r="J4" s="21" t="s">
        <v>10</v>
      </c>
      <c r="K4" s="21" t="s">
        <v>27</v>
      </c>
    </row>
    <row r="5" spans="2:15" x14ac:dyDescent="0.25">
      <c r="D5" s="18" t="s">
        <v>33</v>
      </c>
      <c r="E5" s="50">
        <f>'Grocery Purchase'!J154</f>
        <v>0</v>
      </c>
      <c r="F5" s="50">
        <f>'Grocery Purchase'!K154</f>
        <v>0</v>
      </c>
      <c r="G5" s="50">
        <f>'Grocery Purchase'!AQ154</f>
        <v>0</v>
      </c>
      <c r="H5" s="50">
        <f>'Grocery Purchase'!AR154</f>
        <v>0</v>
      </c>
      <c r="I5" s="51">
        <f>'Grocery Purchase'!AS154</f>
        <v>0</v>
      </c>
      <c r="J5" s="51">
        <f>'Grocery Purchase'!AT154</f>
        <v>0</v>
      </c>
      <c r="K5" s="51">
        <f>'Grocery Purchase'!AU154</f>
        <v>0</v>
      </c>
    </row>
    <row r="6" spans="2:15" x14ac:dyDescent="0.25">
      <c r="D6" s="18" t="s">
        <v>34</v>
      </c>
      <c r="E6" s="50">
        <f>'Bottle Consu.'!I21</f>
        <v>0</v>
      </c>
      <c r="F6" s="50">
        <f>'Bottle Consu.'!J21</f>
        <v>0</v>
      </c>
      <c r="G6" s="50">
        <f>'Bottle Consu.'!AP21</f>
        <v>0</v>
      </c>
      <c r="H6" s="50">
        <f>'Bottle Consu.'!AQ21</f>
        <v>0</v>
      </c>
      <c r="I6" s="51">
        <f>'Bottle Consu.'!AR21</f>
        <v>0</v>
      </c>
      <c r="J6" s="51">
        <f>'Bottle Consu.'!AS21</f>
        <v>0</v>
      </c>
      <c r="K6" s="51">
        <f>'Bottle Consu.'!AT21</f>
        <v>0</v>
      </c>
    </row>
    <row r="7" spans="2:15" x14ac:dyDescent="0.25">
      <c r="D7" s="18" t="s">
        <v>35</v>
      </c>
      <c r="E7" s="50">
        <f>'Hukka Consu.'!I26</f>
        <v>0</v>
      </c>
      <c r="F7" s="50">
        <f>'Hukka Consu.'!J26</f>
        <v>0</v>
      </c>
      <c r="G7" s="50">
        <f>'Hukka Consu.'!AP26</f>
        <v>0</v>
      </c>
      <c r="H7" s="50">
        <f>'Hukka Consu.'!AQ26</f>
        <v>0</v>
      </c>
      <c r="I7" s="51">
        <f>'Hukka Consu.'!AR26</f>
        <v>0</v>
      </c>
      <c r="J7" s="51">
        <f>'Hukka Consu.'!AS26</f>
        <v>0</v>
      </c>
      <c r="K7" s="51">
        <f>'Hukka Consu.'!AT26</f>
        <v>0</v>
      </c>
    </row>
    <row r="8" spans="2:15" x14ac:dyDescent="0.25">
      <c r="D8" s="77" t="s">
        <v>43</v>
      </c>
      <c r="E8" s="78"/>
      <c r="F8" s="78"/>
      <c r="G8" s="78"/>
      <c r="H8" s="79"/>
      <c r="I8" s="69">
        <f>SUM(I5:I7)</f>
        <v>0</v>
      </c>
      <c r="J8" s="69">
        <f>SUM(J5:J7)</f>
        <v>0</v>
      </c>
      <c r="K8" s="69">
        <f>SUM(K5:K7)</f>
        <v>0</v>
      </c>
    </row>
    <row r="9" spans="2:15" x14ac:dyDescent="0.25"/>
    <row r="10" spans="2:15" x14ac:dyDescent="0.25">
      <c r="B10" s="76" t="s">
        <v>41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</row>
    <row r="11" spans="2:15" x14ac:dyDescent="0.25"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2:15" x14ac:dyDescent="0.25"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</row>
    <row r="13" spans="2:15" ht="15.75" thickBot="1" x14ac:dyDescent="0.3"/>
    <row r="14" spans="2:15" ht="30.75" thickBot="1" x14ac:dyDescent="0.3">
      <c r="B14" s="66" t="s">
        <v>37</v>
      </c>
      <c r="C14" s="67" t="s">
        <v>38</v>
      </c>
      <c r="D14" s="68" t="s">
        <v>39</v>
      </c>
      <c r="E14" s="68" t="s">
        <v>40</v>
      </c>
      <c r="F14" s="68" t="s">
        <v>42</v>
      </c>
    </row>
    <row r="15" spans="2:15" x14ac:dyDescent="0.25">
      <c r="B15" s="64">
        <v>45748</v>
      </c>
      <c r="C15" s="65">
        <v>33786.31</v>
      </c>
      <c r="D15" s="65">
        <v>193285</v>
      </c>
      <c r="E15" s="65">
        <v>3780</v>
      </c>
      <c r="F15" s="65">
        <f>Table1[[#This Row],[Hukka Usage Amt]]+Table1[[#This Row],[Bottle Usage Amt]]+Table1[[#This Row],[Grocery Usage Amt]]</f>
        <v>230851.31</v>
      </c>
    </row>
    <row r="16" spans="2:15" x14ac:dyDescent="0.25">
      <c r="B16" s="57">
        <v>45778</v>
      </c>
      <c r="C16" s="51">
        <v>3624</v>
      </c>
      <c r="D16" s="58">
        <v>19000</v>
      </c>
      <c r="E16" s="58">
        <v>3190</v>
      </c>
      <c r="F16" s="58">
        <f>Table1[[#This Row],[Hukka Usage Amt]]+Table1[[#This Row],[Bottle Usage Amt]]+Table1[[#This Row],[Grocery Usage Amt]]</f>
        <v>25814</v>
      </c>
    </row>
    <row r="17" spans="2:6" x14ac:dyDescent="0.25">
      <c r="B17" s="57">
        <v>45809</v>
      </c>
      <c r="C17" s="51">
        <v>35380.81</v>
      </c>
      <c r="D17" s="58">
        <v>29700</v>
      </c>
      <c r="E17" s="58">
        <v>18410</v>
      </c>
      <c r="F17" s="58">
        <f>Table1[[#This Row],[Hukka Usage Amt]]+Table1[[#This Row],[Bottle Usage Amt]]+Table1[[#This Row],[Grocery Usage Amt]]</f>
        <v>83490.81</v>
      </c>
    </row>
    <row r="18" spans="2:6" x14ac:dyDescent="0.25">
      <c r="B18" s="57">
        <v>45839</v>
      </c>
      <c r="C18" s="61">
        <v>22121.72</v>
      </c>
      <c r="D18" s="62">
        <v>29700</v>
      </c>
      <c r="E18" s="62">
        <v>9170</v>
      </c>
      <c r="F18" s="62">
        <f>Table1[[#This Row],[Hukka Usage Amt]]+Table1[[#This Row],[Bottle Usage Amt]]+Table1[[#This Row],[Grocery Usage Amt]]</f>
        <v>60991.72</v>
      </c>
    </row>
    <row r="19" spans="2:6" x14ac:dyDescent="0.25">
      <c r="B19" s="57">
        <v>45870</v>
      </c>
      <c r="C19" s="61">
        <v>23860.080000000002</v>
      </c>
      <c r="D19" s="62">
        <v>46625</v>
      </c>
      <c r="E19" s="62">
        <v>20620</v>
      </c>
      <c r="F19" s="62">
        <f>Table1[[#This Row],[Hukka Usage Amt]]+Table1[[#This Row],[Bottle Usage Amt]]+Table1[[#This Row],[Grocery Usage Amt]]</f>
        <v>91105.08</v>
      </c>
    </row>
    <row r="20" spans="2:6" x14ac:dyDescent="0.25">
      <c r="B20" s="57">
        <v>45901</v>
      </c>
      <c r="C20" s="61">
        <v>13226</v>
      </c>
      <c r="D20" s="62">
        <v>12955</v>
      </c>
      <c r="E20" s="62">
        <v>7600</v>
      </c>
      <c r="F20" s="62">
        <f>Table1[[#This Row],[Hukka Usage Amt]]+Table1[[#This Row],[Bottle Usage Amt]]+Table1[[#This Row],[Grocery Usage Amt]]</f>
        <v>33781</v>
      </c>
    </row>
    <row r="21" spans="2:6" x14ac:dyDescent="0.25">
      <c r="B21" s="57">
        <v>45931</v>
      </c>
      <c r="C21" s="71">
        <v>15051.59</v>
      </c>
      <c r="D21" s="62">
        <v>1000</v>
      </c>
      <c r="E21" s="65">
        <v>10700</v>
      </c>
      <c r="F21" s="62">
        <f>Table1[[#This Row],[Hukka Usage Amt]]+Table1[[#This Row],[Bottle Usage Amt]]+Table1[[#This Row],[Grocery Usage Amt]]</f>
        <v>26751.59</v>
      </c>
    </row>
    <row r="22" spans="2:6" x14ac:dyDescent="0.25">
      <c r="B22" s="57">
        <v>45962</v>
      </c>
      <c r="C22" s="71">
        <v>9468</v>
      </c>
      <c r="D22" s="62">
        <v>10250</v>
      </c>
      <c r="E22" s="65">
        <v>2880</v>
      </c>
      <c r="F22" s="62">
        <f>Table1[[#This Row],[Hukka Usage Amt]]+Table1[[#This Row],[Bottle Usage Amt]]+Table1[[#This Row],[Grocery Usage Amt]]</f>
        <v>22598</v>
      </c>
    </row>
    <row r="23" spans="2:6" x14ac:dyDescent="0.25">
      <c r="B23" s="57">
        <v>45992</v>
      </c>
      <c r="C23" s="61">
        <v>18819</v>
      </c>
      <c r="D23" s="62">
        <v>59450</v>
      </c>
      <c r="E23" s="62">
        <v>14710</v>
      </c>
      <c r="F23" s="62">
        <f>Table1[[#This Row],[Hukka Usage Amt]]+Table1[[#This Row],[Bottle Usage Amt]]+Table1[[#This Row],[Grocery Usage Amt]]</f>
        <v>92979</v>
      </c>
    </row>
    <row r="24" spans="2:6" x14ac:dyDescent="0.25">
      <c r="B24" s="57">
        <v>46023</v>
      </c>
      <c r="C24" s="61">
        <f>I5</f>
        <v>0</v>
      </c>
      <c r="D24" s="62">
        <f>I6</f>
        <v>0</v>
      </c>
      <c r="E24" s="62">
        <f>I7</f>
        <v>0</v>
      </c>
      <c r="F24" s="62">
        <f>Table1[[#This Row],[Hukka Usage Amt]]+Table1[[#This Row],[Bottle Usage Amt]]+Table1[[#This Row],[Grocery Usage Amt]]</f>
        <v>0</v>
      </c>
    </row>
    <row r="25" spans="2:6" x14ac:dyDescent="0.25">
      <c r="B25" s="57">
        <v>46054</v>
      </c>
      <c r="C25" s="59"/>
      <c r="D25" s="47"/>
      <c r="E25" s="47"/>
      <c r="F25" s="62">
        <f>Table1[[#This Row],[Hukka Usage Amt]]+Table1[[#This Row],[Bottle Usage Amt]]+Table1[[#This Row],[Grocery Usage Amt]]</f>
        <v>0</v>
      </c>
    </row>
    <row r="26" spans="2:6" x14ac:dyDescent="0.25">
      <c r="B26" s="57">
        <v>46082</v>
      </c>
      <c r="C26" s="59"/>
      <c r="D26" s="47"/>
      <c r="E26" s="47"/>
      <c r="F26" s="62">
        <f>Table1[[#This Row],[Hukka Usage Amt]]+Table1[[#This Row],[Bottle Usage Amt]]+Table1[[#This Row],[Grocery Usage Amt]]</f>
        <v>0</v>
      </c>
    </row>
    <row r="27" spans="2:6" x14ac:dyDescent="0.25"/>
    <row r="28" spans="2:6" x14ac:dyDescent="0.25"/>
    <row r="29" spans="2:6" x14ac:dyDescent="0.25"/>
  </sheetData>
  <sheetProtection algorithmName="SHA-512" hashValue="DzvAMWCVZlE4ZDv/Yy6DHhmtbftqO6G532VlFH7spCm4h4cN0m7LxR1VBnGhpfLL68KIbThtUPYyu01UZnHWTA==" saltValue="JtxJ+7N862BStStFe0aKtQ==" spinCount="100000" sheet="1"/>
  <mergeCells count="3">
    <mergeCell ref="C1:M1"/>
    <mergeCell ref="B10:L12"/>
    <mergeCell ref="D8:H8"/>
  </mergeCells>
  <conditionalFormatting sqref="C15:C18 C23:C2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{468347C0-DC8E-4A82-B9FB-74F2B15E3CDB}</x14:id>
        </ext>
      </extLst>
    </cfRule>
  </conditionalFormatting>
  <conditionalFormatting sqref="C19:C2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{FB576AA7-3C7B-4BAE-A133-713CD8FF593B}</x14:id>
        </ext>
      </extLst>
    </cfRule>
  </conditionalFormatting>
  <conditionalFormatting sqref="C21:C2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{EE084AD3-E4F5-46A9-B4FE-6F143B0590EC}</x14:id>
        </ext>
      </extLst>
    </cfRule>
  </conditionalFormatting>
  <conditionalFormatting sqref="D15:D18 D23:D2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{F637B72C-884E-4622-8040-F1FB62F6E126}</x14:id>
        </ext>
      </extLst>
    </cfRule>
  </conditionalFormatting>
  <conditionalFormatting sqref="D19:D2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{7E3EA2CF-D7C1-4FA9-9AC0-5F091AB4830D}</x14:id>
        </ext>
      </extLst>
    </cfRule>
  </conditionalFormatting>
  <conditionalFormatting sqref="E19:E20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{3859EDCF-1AC2-4049-AF34-2AC615F8F06B}</x14:id>
        </ext>
      </extLst>
    </cfRule>
  </conditionalFormatting>
  <conditionalFormatting sqref="E21:E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{2A66704B-03B4-4950-BCBF-766B9364A62E}</x14:id>
        </ext>
      </extLst>
    </cfRule>
  </conditionalFormatting>
  <conditionalFormatting sqref="E15:F18 E23:F26 F19:F2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{1761B043-6826-43AC-9784-463086234C0D}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8347C0-DC8E-4A82-B9FB-74F2B15E3C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C15:C18 C23:C26</xm:sqref>
        </x14:conditionalFormatting>
        <x14:conditionalFormatting xmlns:xm="http://schemas.microsoft.com/office/excel/2006/main">
          <x14:cfRule type="dataBar" id="{FB576AA7-3C7B-4BAE-A133-713CD8FF59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>
          <x14:cfRule type="dataBar" id="{EE084AD3-E4F5-46A9-B4FE-6F143B0590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C21:C22</xm:sqref>
        </x14:conditionalFormatting>
        <x14:conditionalFormatting xmlns:xm="http://schemas.microsoft.com/office/excel/2006/main">
          <x14:cfRule type="dataBar" id="{F637B72C-884E-4622-8040-F1FB62F6E1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D15:D18 D23:D26</xm:sqref>
        </x14:conditionalFormatting>
        <x14:conditionalFormatting xmlns:xm="http://schemas.microsoft.com/office/excel/2006/main">
          <x14:cfRule type="dataBar" id="{7E3EA2CF-D7C1-4FA9-9AC0-5F091AB483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D19:D22</xm:sqref>
        </x14:conditionalFormatting>
        <x14:conditionalFormatting xmlns:xm="http://schemas.microsoft.com/office/excel/2006/main">
          <x14:cfRule type="dataBar" id="{3859EDCF-1AC2-4049-AF34-2AC615F8F0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E19:E20</xm:sqref>
        </x14:conditionalFormatting>
        <x14:conditionalFormatting xmlns:xm="http://schemas.microsoft.com/office/excel/2006/main">
          <x14:cfRule type="dataBar" id="{2A66704B-03B4-4950-BCBF-766B9364A6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E21:E22</xm:sqref>
        </x14:conditionalFormatting>
        <x14:conditionalFormatting xmlns:xm="http://schemas.microsoft.com/office/excel/2006/main">
          <x14:cfRule type="dataBar" id="{1761B043-6826-43AC-9784-463086234C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E15:F18 E23:F26 F19:F22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G155"/>
  <sheetViews>
    <sheetView showGridLines="0" zoomScaleNormal="100" workbookViewId="0">
      <pane xSplit="11" ySplit="4" topLeftCell="L5" activePane="bottomRight" state="frozen"/>
      <selection pane="topRight" activeCell="L1" sqref="L1"/>
      <selection pane="bottomLeft" activeCell="A5" sqref="A5"/>
      <selection pane="bottomRight" sqref="A1:W1"/>
    </sheetView>
  </sheetViews>
  <sheetFormatPr defaultColWidth="0" defaultRowHeight="15" x14ac:dyDescent="0.25"/>
  <cols>
    <col min="1" max="1" width="6.140625" style="5" bestFit="1" customWidth="1"/>
    <col min="2" max="2" width="19" style="5" bestFit="1" customWidth="1"/>
    <col min="3" max="3" width="17.85546875" style="5" customWidth="1"/>
    <col min="4" max="4" width="19.85546875" style="5" bestFit="1" customWidth="1"/>
    <col min="5" max="5" width="15.140625" style="5" bestFit="1" customWidth="1"/>
    <col min="6" max="6" width="27.85546875" style="34" bestFit="1" customWidth="1"/>
    <col min="7" max="7" width="13.140625" style="34" bestFit="1" customWidth="1"/>
    <col min="8" max="8" width="8.140625" style="35" bestFit="1" customWidth="1"/>
    <col min="9" max="9" width="7.5703125" style="36" bestFit="1" customWidth="1"/>
    <col min="10" max="10" width="9.85546875" style="35" customWidth="1"/>
    <col min="11" max="11" width="6.85546875" style="5" bestFit="1" customWidth="1"/>
    <col min="12" max="12" width="4.85546875" style="5" bestFit="1" customWidth="1"/>
    <col min="13" max="14" width="5.85546875" style="5" bestFit="1" customWidth="1"/>
    <col min="15" max="15" width="4.85546875" style="5" bestFit="1" customWidth="1"/>
    <col min="16" max="17" width="5.85546875" style="5" bestFit="1" customWidth="1"/>
    <col min="18" max="18" width="4.42578125" style="5" bestFit="1" customWidth="1"/>
    <col min="19" max="19" width="4.85546875" style="5" bestFit="1" customWidth="1"/>
    <col min="20" max="20" width="5.85546875" style="5" bestFit="1" customWidth="1"/>
    <col min="21" max="31" width="4.85546875" style="5" bestFit="1" customWidth="1"/>
    <col min="32" max="32" width="4.42578125" style="5" bestFit="1" customWidth="1"/>
    <col min="33" max="34" width="4.85546875" style="5" bestFit="1" customWidth="1"/>
    <col min="35" max="35" width="4.42578125" style="5" bestFit="1" customWidth="1"/>
    <col min="36" max="38" width="4.85546875" style="5" bestFit="1" customWidth="1"/>
    <col min="39" max="39" width="4.42578125" style="37" bestFit="1" customWidth="1"/>
    <col min="40" max="40" width="4.42578125" style="5" bestFit="1" customWidth="1"/>
    <col min="41" max="41" width="4.85546875" style="5" bestFit="1" customWidth="1"/>
    <col min="42" max="42" width="3.28515625" style="5" bestFit="1" customWidth="1"/>
    <col min="43" max="43" width="5.5703125" style="5" bestFit="1" customWidth="1"/>
    <col min="44" max="44" width="6.42578125" style="35" bestFit="1" customWidth="1"/>
    <col min="45" max="45" width="7.42578125" style="5" bestFit="1" customWidth="1"/>
    <col min="46" max="46" width="7.85546875" style="5" bestFit="1" customWidth="1"/>
    <col min="47" max="47" width="7.42578125" style="5" bestFit="1" customWidth="1"/>
    <col min="48" max="48" width="4.85546875" style="5" bestFit="1" customWidth="1"/>
    <col min="49" max="49" width="4.7109375" style="5" bestFit="1" customWidth="1"/>
    <col min="50" max="50" width="8.140625" style="5" bestFit="1" customWidth="1"/>
    <col min="51" max="51" width="8.85546875" style="5" bestFit="1" customWidth="1"/>
    <col min="52" max="52" width="5" style="5" customWidth="1"/>
    <col min="53" max="1021" width="0" style="5" hidden="1" customWidth="1"/>
    <col min="1022" max="16384" width="9.140625" style="38" hidden="1"/>
  </cols>
  <sheetData>
    <row r="1" spans="1:51" ht="23.25" thickBot="1" x14ac:dyDescent="0.3">
      <c r="A1" s="73" t="str">
        <f>"GuestVilla Grocery Purchase of "&amp; TEXT(L4," MMM YY")</f>
        <v>GuestVilla Grocery Purchase of  Jan 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4"/>
      <c r="AR1" s="1"/>
      <c r="AS1" s="1"/>
    </row>
    <row r="2" spans="1:51" x14ac:dyDescent="0.25">
      <c r="A2" s="1"/>
      <c r="B2" s="1"/>
      <c r="C2" s="1"/>
      <c r="D2" s="1"/>
      <c r="E2" s="1"/>
      <c r="F2" s="6"/>
      <c r="G2" s="6"/>
      <c r="H2" s="6"/>
      <c r="I2" s="7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9"/>
      <c r="AN2" s="1"/>
      <c r="AO2" s="1"/>
      <c r="AP2" s="1"/>
      <c r="AQ2" s="1"/>
      <c r="AR2" s="1"/>
      <c r="AS2" s="1"/>
    </row>
    <row r="3" spans="1:51" ht="25.5" x14ac:dyDescent="0.25">
      <c r="A3" s="10"/>
      <c r="B3" s="10"/>
      <c r="C3" s="10" t="s">
        <v>44</v>
      </c>
      <c r="D3" s="10"/>
      <c r="E3" s="10"/>
      <c r="F3" s="11"/>
      <c r="G3" s="11"/>
      <c r="H3" s="11"/>
      <c r="I3" s="12"/>
      <c r="J3" s="13"/>
      <c r="K3" s="43" t="s">
        <v>31</v>
      </c>
      <c r="L3" s="14" t="str">
        <f>TEXT(L4,"ddd")</f>
        <v>Thu</v>
      </c>
      <c r="M3" s="14" t="str">
        <f t="shared" ref="M3:AE3" si="0">TEXT(M4,"ddd")</f>
        <v>Fri</v>
      </c>
      <c r="N3" s="14" t="str">
        <f t="shared" si="0"/>
        <v>Sat</v>
      </c>
      <c r="O3" s="14" t="str">
        <f t="shared" si="0"/>
        <v>Sun</v>
      </c>
      <c r="P3" s="14" t="str">
        <f t="shared" si="0"/>
        <v>Mon</v>
      </c>
      <c r="Q3" s="14" t="str">
        <f t="shared" si="0"/>
        <v>Tue</v>
      </c>
      <c r="R3" s="14" t="str">
        <f t="shared" si="0"/>
        <v>Wed</v>
      </c>
      <c r="S3" s="14" t="str">
        <f t="shared" si="0"/>
        <v>Thu</v>
      </c>
      <c r="T3" s="14" t="str">
        <f t="shared" si="0"/>
        <v>Fri</v>
      </c>
      <c r="U3" s="14" t="str">
        <f t="shared" si="0"/>
        <v>Sat</v>
      </c>
      <c r="V3" s="14" t="str">
        <f t="shared" si="0"/>
        <v>Sun</v>
      </c>
      <c r="W3" s="14" t="str">
        <f t="shared" si="0"/>
        <v>Mon</v>
      </c>
      <c r="X3" s="14" t="str">
        <f t="shared" si="0"/>
        <v>Tue</v>
      </c>
      <c r="Y3" s="14" t="str">
        <f t="shared" si="0"/>
        <v>Wed</v>
      </c>
      <c r="Z3" s="14" t="str">
        <f t="shared" si="0"/>
        <v>Thu</v>
      </c>
      <c r="AA3" s="14" t="str">
        <f t="shared" si="0"/>
        <v>Fri</v>
      </c>
      <c r="AB3" s="14" t="str">
        <f t="shared" si="0"/>
        <v>Sat</v>
      </c>
      <c r="AC3" s="14" t="str">
        <f t="shared" si="0"/>
        <v>Sun</v>
      </c>
      <c r="AD3" s="14" t="str">
        <f t="shared" si="0"/>
        <v>Mon</v>
      </c>
      <c r="AE3" s="14" t="str">
        <f t="shared" si="0"/>
        <v>Tue</v>
      </c>
      <c r="AF3" s="14" t="str">
        <f>TEXT(AF4,"ddd")</f>
        <v>Wed</v>
      </c>
      <c r="AG3" s="14" t="str">
        <f t="shared" ref="AG3:AP3" si="1">TEXT(AG4,"ddd")</f>
        <v>Thu</v>
      </c>
      <c r="AH3" s="14" t="str">
        <f t="shared" si="1"/>
        <v>Fri</v>
      </c>
      <c r="AI3" s="14" t="str">
        <f t="shared" si="1"/>
        <v>Sat</v>
      </c>
      <c r="AJ3" s="14" t="str">
        <f t="shared" si="1"/>
        <v>Sun</v>
      </c>
      <c r="AK3" s="14" t="str">
        <f t="shared" si="1"/>
        <v>Mon</v>
      </c>
      <c r="AL3" s="14" t="str">
        <f t="shared" si="1"/>
        <v>Tue</v>
      </c>
      <c r="AM3" s="14" t="str">
        <f t="shared" si="1"/>
        <v>Wed</v>
      </c>
      <c r="AN3" s="14" t="str">
        <f t="shared" si="1"/>
        <v>Thu</v>
      </c>
      <c r="AO3" s="14" t="str">
        <f t="shared" si="1"/>
        <v>Fri</v>
      </c>
      <c r="AP3" s="14" t="str">
        <f t="shared" si="1"/>
        <v>Sat</v>
      </c>
      <c r="AQ3" s="43" t="s">
        <v>31</v>
      </c>
      <c r="AR3" s="43" t="s">
        <v>31</v>
      </c>
      <c r="AS3" s="43" t="s">
        <v>31</v>
      </c>
      <c r="AT3" s="43" t="s">
        <v>31</v>
      </c>
      <c r="AU3" s="43" t="s">
        <v>31</v>
      </c>
      <c r="AX3" s="43" t="s">
        <v>31</v>
      </c>
    </row>
    <row r="4" spans="1:51" ht="38.25" x14ac:dyDescent="0.25">
      <c r="A4" s="15" t="s">
        <v>0</v>
      </c>
      <c r="B4" s="15" t="s">
        <v>32</v>
      </c>
      <c r="C4" s="15" t="s">
        <v>13</v>
      </c>
      <c r="D4" s="15" t="s">
        <v>8</v>
      </c>
      <c r="E4" s="15" t="s">
        <v>26</v>
      </c>
      <c r="F4" s="16" t="s">
        <v>1</v>
      </c>
      <c r="G4" s="16" t="s">
        <v>2</v>
      </c>
      <c r="H4" s="16" t="s">
        <v>3</v>
      </c>
      <c r="I4" s="17" t="s">
        <v>4</v>
      </c>
      <c r="J4" s="18" t="s">
        <v>5</v>
      </c>
      <c r="K4" s="19" t="s">
        <v>6</v>
      </c>
      <c r="L4" s="20">
        <f>Summary!M3</f>
        <v>46023</v>
      </c>
      <c r="M4" s="20">
        <f>L4+1</f>
        <v>46024</v>
      </c>
      <c r="N4" s="20">
        <f t="shared" ref="N4:AP4" si="2">M4+1</f>
        <v>46025</v>
      </c>
      <c r="O4" s="20">
        <f t="shared" si="2"/>
        <v>46026</v>
      </c>
      <c r="P4" s="20">
        <f t="shared" si="2"/>
        <v>46027</v>
      </c>
      <c r="Q4" s="20">
        <f t="shared" si="2"/>
        <v>46028</v>
      </c>
      <c r="R4" s="20">
        <f t="shared" si="2"/>
        <v>46029</v>
      </c>
      <c r="S4" s="20">
        <f t="shared" si="2"/>
        <v>46030</v>
      </c>
      <c r="T4" s="20">
        <f t="shared" si="2"/>
        <v>46031</v>
      </c>
      <c r="U4" s="20">
        <f t="shared" si="2"/>
        <v>46032</v>
      </c>
      <c r="V4" s="20">
        <f t="shared" si="2"/>
        <v>46033</v>
      </c>
      <c r="W4" s="20">
        <f t="shared" si="2"/>
        <v>46034</v>
      </c>
      <c r="X4" s="20">
        <f t="shared" si="2"/>
        <v>46035</v>
      </c>
      <c r="Y4" s="20">
        <f t="shared" si="2"/>
        <v>46036</v>
      </c>
      <c r="Z4" s="20">
        <f t="shared" si="2"/>
        <v>46037</v>
      </c>
      <c r="AA4" s="20">
        <f t="shared" si="2"/>
        <v>46038</v>
      </c>
      <c r="AB4" s="20">
        <f t="shared" si="2"/>
        <v>46039</v>
      </c>
      <c r="AC4" s="20">
        <f t="shared" si="2"/>
        <v>46040</v>
      </c>
      <c r="AD4" s="20">
        <f t="shared" si="2"/>
        <v>46041</v>
      </c>
      <c r="AE4" s="20">
        <f t="shared" si="2"/>
        <v>46042</v>
      </c>
      <c r="AF4" s="20">
        <f t="shared" si="2"/>
        <v>46043</v>
      </c>
      <c r="AG4" s="20">
        <f t="shared" si="2"/>
        <v>46044</v>
      </c>
      <c r="AH4" s="20">
        <f t="shared" si="2"/>
        <v>46045</v>
      </c>
      <c r="AI4" s="20">
        <f t="shared" si="2"/>
        <v>46046</v>
      </c>
      <c r="AJ4" s="20">
        <f t="shared" si="2"/>
        <v>46047</v>
      </c>
      <c r="AK4" s="20">
        <f t="shared" si="2"/>
        <v>46048</v>
      </c>
      <c r="AL4" s="20">
        <f t="shared" si="2"/>
        <v>46049</v>
      </c>
      <c r="AM4" s="20">
        <f t="shared" si="2"/>
        <v>46050</v>
      </c>
      <c r="AN4" s="20">
        <f t="shared" si="2"/>
        <v>46051</v>
      </c>
      <c r="AO4" s="20">
        <f t="shared" si="2"/>
        <v>46052</v>
      </c>
      <c r="AP4" s="20">
        <f t="shared" si="2"/>
        <v>46053</v>
      </c>
      <c r="AQ4" s="21" t="s">
        <v>12</v>
      </c>
      <c r="AR4" s="21" t="s">
        <v>11</v>
      </c>
      <c r="AS4" s="21" t="s">
        <v>9</v>
      </c>
      <c r="AT4" s="21" t="s">
        <v>10</v>
      </c>
      <c r="AU4" s="21" t="s">
        <v>27</v>
      </c>
      <c r="AV4" s="21" t="s">
        <v>28</v>
      </c>
      <c r="AW4" s="21" t="s">
        <v>29</v>
      </c>
      <c r="AX4" s="21" t="s">
        <v>30</v>
      </c>
      <c r="AY4" s="21" t="s">
        <v>14</v>
      </c>
    </row>
    <row r="5" spans="1:51" x14ac:dyDescent="0.25">
      <c r="A5" s="22">
        <v>1</v>
      </c>
      <c r="B5" s="22"/>
      <c r="C5" s="40"/>
      <c r="D5" s="40"/>
      <c r="E5" s="40"/>
      <c r="F5" s="55"/>
      <c r="G5" s="31"/>
      <c r="H5" s="25"/>
      <c r="I5" s="26"/>
      <c r="J5" s="26"/>
      <c r="K5" s="54">
        <f>J5+I5</f>
        <v>0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4">
        <f t="shared" ref="AQ5:AQ8" si="3">SUM(L5:AP5)</f>
        <v>0</v>
      </c>
      <c r="AR5" s="54">
        <f t="shared" ref="AR5:AR8" si="4">K5-AQ5</f>
        <v>0</v>
      </c>
      <c r="AS5" s="54">
        <f t="shared" ref="AS5:AS8" si="5">AQ5*H5</f>
        <v>0</v>
      </c>
      <c r="AT5" s="54">
        <f t="shared" ref="AT5:AT8" si="6">AR5*H5</f>
        <v>0</v>
      </c>
      <c r="AU5" s="54">
        <f t="shared" ref="AU5:AU8" si="7">J5*H5</f>
        <v>0</v>
      </c>
      <c r="AV5" s="30"/>
      <c r="AW5" s="30"/>
      <c r="AX5" s="30">
        <f t="shared" ref="AX5:AX8" si="8">AU5*SUM(AV5:AW5)%+AU5</f>
        <v>0</v>
      </c>
      <c r="AY5" s="47" t="s">
        <v>15</v>
      </c>
    </row>
    <row r="6" spans="1:51" x14ac:dyDescent="0.25">
      <c r="A6" s="22">
        <v>2</v>
      </c>
      <c r="B6" s="22"/>
      <c r="C6" s="40"/>
      <c r="D6" s="40"/>
      <c r="E6" s="40"/>
      <c r="F6" s="55"/>
      <c r="G6" s="31"/>
      <c r="H6" s="25"/>
      <c r="I6" s="26"/>
      <c r="J6" s="26"/>
      <c r="K6" s="54">
        <f t="shared" ref="K6:K8" si="9">J6+I6</f>
        <v>0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4">
        <f t="shared" si="3"/>
        <v>0</v>
      </c>
      <c r="AR6" s="54">
        <f t="shared" si="4"/>
        <v>0</v>
      </c>
      <c r="AS6" s="54">
        <f t="shared" si="5"/>
        <v>0</v>
      </c>
      <c r="AT6" s="54">
        <f t="shared" si="6"/>
        <v>0</v>
      </c>
      <c r="AU6" s="54">
        <f t="shared" si="7"/>
        <v>0</v>
      </c>
      <c r="AV6" s="30"/>
      <c r="AW6" s="30"/>
      <c r="AX6" s="30">
        <f t="shared" si="8"/>
        <v>0</v>
      </c>
      <c r="AY6" s="47" t="s">
        <v>15</v>
      </c>
    </row>
    <row r="7" spans="1:51" x14ac:dyDescent="0.25">
      <c r="A7" s="22">
        <v>3</v>
      </c>
      <c r="B7" s="22"/>
      <c r="C7" s="40"/>
      <c r="D7" s="40"/>
      <c r="E7" s="40"/>
      <c r="F7" s="55"/>
      <c r="G7" s="31"/>
      <c r="H7" s="25"/>
      <c r="I7" s="26"/>
      <c r="J7" s="26"/>
      <c r="K7" s="54">
        <f t="shared" si="9"/>
        <v>0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>
        <f t="shared" si="3"/>
        <v>0</v>
      </c>
      <c r="AR7" s="54">
        <f t="shared" si="4"/>
        <v>0</v>
      </c>
      <c r="AS7" s="54">
        <f t="shared" si="5"/>
        <v>0</v>
      </c>
      <c r="AT7" s="54">
        <f t="shared" si="6"/>
        <v>0</v>
      </c>
      <c r="AU7" s="54">
        <f t="shared" si="7"/>
        <v>0</v>
      </c>
      <c r="AV7" s="30"/>
      <c r="AW7" s="30"/>
      <c r="AX7" s="30">
        <f t="shared" si="8"/>
        <v>0</v>
      </c>
      <c r="AY7" s="47" t="s">
        <v>15</v>
      </c>
    </row>
    <row r="8" spans="1:51" x14ac:dyDescent="0.25">
      <c r="A8" s="22">
        <v>4</v>
      </c>
      <c r="B8" s="22"/>
      <c r="C8" s="40"/>
      <c r="D8" s="40"/>
      <c r="E8" s="40"/>
      <c r="F8" s="55"/>
      <c r="G8" s="31"/>
      <c r="H8" s="25"/>
      <c r="I8" s="26"/>
      <c r="J8" s="26"/>
      <c r="K8" s="54">
        <f t="shared" si="9"/>
        <v>0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4">
        <f t="shared" si="3"/>
        <v>0</v>
      </c>
      <c r="AR8" s="54">
        <f t="shared" si="4"/>
        <v>0</v>
      </c>
      <c r="AS8" s="54">
        <f t="shared" si="5"/>
        <v>0</v>
      </c>
      <c r="AT8" s="54">
        <f t="shared" si="6"/>
        <v>0</v>
      </c>
      <c r="AU8" s="54">
        <f t="shared" si="7"/>
        <v>0</v>
      </c>
      <c r="AV8" s="30"/>
      <c r="AW8" s="30"/>
      <c r="AX8" s="30">
        <f t="shared" si="8"/>
        <v>0</v>
      </c>
      <c r="AY8" s="47" t="s">
        <v>15</v>
      </c>
    </row>
    <row r="9" spans="1:51" s="5" customFormat="1" x14ac:dyDescent="0.25">
      <c r="A9" s="22">
        <v>5</v>
      </c>
      <c r="B9" s="22"/>
      <c r="C9" s="40"/>
      <c r="D9" s="40"/>
      <c r="E9" s="40"/>
      <c r="F9" s="55"/>
      <c r="G9" s="31"/>
      <c r="H9" s="25"/>
      <c r="I9" s="26"/>
      <c r="J9" s="26"/>
      <c r="K9" s="54">
        <f t="shared" ref="K9" si="10">J9+I9</f>
        <v>0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4">
        <f t="shared" ref="AQ9" si="11">SUM(L9:AP9)</f>
        <v>0</v>
      </c>
      <c r="AR9" s="54">
        <f t="shared" ref="AR9" si="12">K9-AQ9</f>
        <v>0</v>
      </c>
      <c r="AS9" s="54">
        <f t="shared" ref="AS9" si="13">AQ9*H9</f>
        <v>0</v>
      </c>
      <c r="AT9" s="54">
        <f t="shared" ref="AT9" si="14">AR9*H9</f>
        <v>0</v>
      </c>
      <c r="AU9" s="54">
        <f t="shared" ref="AU9" si="15">J9*H9</f>
        <v>0</v>
      </c>
      <c r="AV9" s="30"/>
      <c r="AW9" s="30"/>
      <c r="AX9" s="30">
        <f t="shared" ref="AX9" si="16">AU9*SUM(AV9:AW9)%+AU9</f>
        <v>0</v>
      </c>
      <c r="AY9" s="47" t="s">
        <v>15</v>
      </c>
    </row>
    <row r="10" spans="1:51" x14ac:dyDescent="0.25">
      <c r="A10" s="22">
        <v>6</v>
      </c>
      <c r="B10" s="22"/>
      <c r="C10" s="40"/>
      <c r="D10" s="40"/>
      <c r="E10" s="40"/>
      <c r="F10" s="55"/>
      <c r="G10" s="31"/>
      <c r="H10" s="25"/>
      <c r="I10" s="26"/>
      <c r="J10" s="26"/>
      <c r="K10" s="54">
        <f>J10+I10</f>
        <v>0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4">
        <f t="shared" ref="AQ10:AQ34" si="17">SUM(L10:AP10)</f>
        <v>0</v>
      </c>
      <c r="AR10" s="54">
        <f t="shared" ref="AR10:AR11" si="18">K10-AQ10</f>
        <v>0</v>
      </c>
      <c r="AS10" s="54">
        <f>AQ10*H10</f>
        <v>0</v>
      </c>
      <c r="AT10" s="54">
        <f t="shared" ref="AT10:AT34" si="19">AR10*H10</f>
        <v>0</v>
      </c>
      <c r="AU10" s="54">
        <f t="shared" ref="AU10:AU34" si="20">J10*H10</f>
        <v>0</v>
      </c>
      <c r="AV10" s="30"/>
      <c r="AW10" s="30"/>
      <c r="AX10" s="30">
        <f t="shared" ref="AX10:AX34" si="21">AU10*SUM(AV10:AW10)%+AU10</f>
        <v>0</v>
      </c>
      <c r="AY10" s="47" t="s">
        <v>15</v>
      </c>
    </row>
    <row r="11" spans="1:51" s="5" customFormat="1" x14ac:dyDescent="0.25">
      <c r="A11" s="22">
        <v>7</v>
      </c>
      <c r="B11" s="22"/>
      <c r="C11" s="40"/>
      <c r="D11" s="40"/>
      <c r="E11" s="40"/>
      <c r="F11" s="55"/>
      <c r="G11" s="31"/>
      <c r="H11" s="25"/>
      <c r="I11" s="26"/>
      <c r="J11" s="26"/>
      <c r="K11" s="54">
        <f>J11+I11</f>
        <v>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4">
        <f t="shared" si="17"/>
        <v>0</v>
      </c>
      <c r="AR11" s="54">
        <f t="shared" si="18"/>
        <v>0</v>
      </c>
      <c r="AS11" s="54">
        <f>AQ11*H11</f>
        <v>0</v>
      </c>
      <c r="AT11" s="54">
        <f t="shared" si="19"/>
        <v>0</v>
      </c>
      <c r="AU11" s="54">
        <f t="shared" si="20"/>
        <v>0</v>
      </c>
      <c r="AV11" s="30"/>
      <c r="AW11" s="30"/>
      <c r="AX11" s="30">
        <f t="shared" si="21"/>
        <v>0</v>
      </c>
      <c r="AY11" s="47" t="s">
        <v>15</v>
      </c>
    </row>
    <row r="12" spans="1:51" s="5" customFormat="1" x14ac:dyDescent="0.25">
      <c r="A12" s="22">
        <v>8</v>
      </c>
      <c r="B12" s="22"/>
      <c r="C12" s="40"/>
      <c r="D12" s="40"/>
      <c r="E12" s="40"/>
      <c r="F12" s="55"/>
      <c r="G12" s="31"/>
      <c r="H12" s="25"/>
      <c r="I12" s="26"/>
      <c r="J12" s="26"/>
      <c r="K12" s="54">
        <f t="shared" ref="K12:K34" si="22">J12+I12</f>
        <v>0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4">
        <f t="shared" si="17"/>
        <v>0</v>
      </c>
      <c r="AR12" s="54">
        <f t="shared" ref="AR12:AR34" si="23">K12-AQ12</f>
        <v>0</v>
      </c>
      <c r="AS12" s="54">
        <f t="shared" ref="AS12:AS34" si="24">AQ12*H12</f>
        <v>0</v>
      </c>
      <c r="AT12" s="54">
        <f t="shared" si="19"/>
        <v>0</v>
      </c>
      <c r="AU12" s="54">
        <f t="shared" si="20"/>
        <v>0</v>
      </c>
      <c r="AV12" s="30"/>
      <c r="AW12" s="30"/>
      <c r="AX12" s="30">
        <f t="shared" si="21"/>
        <v>0</v>
      </c>
      <c r="AY12" s="47" t="s">
        <v>15</v>
      </c>
    </row>
    <row r="13" spans="1:51" s="5" customFormat="1" x14ac:dyDescent="0.25">
      <c r="A13" s="22">
        <v>9</v>
      </c>
      <c r="B13" s="22"/>
      <c r="C13" s="40"/>
      <c r="D13" s="40"/>
      <c r="E13" s="40"/>
      <c r="F13" s="55"/>
      <c r="G13" s="31"/>
      <c r="H13" s="25"/>
      <c r="I13" s="26"/>
      <c r="J13" s="26"/>
      <c r="K13" s="54">
        <f t="shared" ref="K13:K19" si="25">J13+I13</f>
        <v>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4">
        <f t="shared" ref="AQ13" si="26">SUM(L13:AP13)</f>
        <v>0</v>
      </c>
      <c r="AR13" s="54">
        <f t="shared" ref="AR13" si="27">K13-AQ13</f>
        <v>0</v>
      </c>
      <c r="AS13" s="54">
        <f t="shared" ref="AS13" si="28">AQ13*H13</f>
        <v>0</v>
      </c>
      <c r="AT13" s="54">
        <f t="shared" ref="AT13" si="29">AR13*H13</f>
        <v>0</v>
      </c>
      <c r="AU13" s="54">
        <f t="shared" ref="AU13" si="30">J13*H13</f>
        <v>0</v>
      </c>
      <c r="AV13" s="30"/>
      <c r="AW13" s="30"/>
      <c r="AX13" s="30">
        <f t="shared" ref="AX13" si="31">AU13*SUM(AV13:AW13)%+AU13</f>
        <v>0</v>
      </c>
      <c r="AY13" s="47" t="s">
        <v>15</v>
      </c>
    </row>
    <row r="14" spans="1:51" s="5" customFormat="1" x14ac:dyDescent="0.25">
      <c r="A14" s="22">
        <v>10</v>
      </c>
      <c r="B14" s="22"/>
      <c r="C14" s="40"/>
      <c r="D14" s="40"/>
      <c r="E14" s="40"/>
      <c r="F14" s="55"/>
      <c r="G14" s="31"/>
      <c r="H14" s="25"/>
      <c r="I14" s="26"/>
      <c r="J14" s="26"/>
      <c r="K14" s="54">
        <f t="shared" si="25"/>
        <v>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4">
        <f t="shared" ref="AQ14:AQ18" si="32">SUM(L14:AP14)</f>
        <v>0</v>
      </c>
      <c r="AR14" s="54">
        <f t="shared" ref="AR14:AR18" si="33">K14-AQ14</f>
        <v>0</v>
      </c>
      <c r="AS14" s="54">
        <f t="shared" ref="AS14:AS18" si="34">AQ14*H14</f>
        <v>0</v>
      </c>
      <c r="AT14" s="54">
        <f t="shared" ref="AT14:AT18" si="35">AR14*H14</f>
        <v>0</v>
      </c>
      <c r="AU14" s="54">
        <f t="shared" ref="AU14:AU18" si="36">J14*H14</f>
        <v>0</v>
      </c>
      <c r="AV14" s="30"/>
      <c r="AW14" s="30"/>
      <c r="AX14" s="30">
        <f t="shared" ref="AX14:AX18" si="37">AU14*SUM(AV14:AW14)%+AU14</f>
        <v>0</v>
      </c>
      <c r="AY14" s="47" t="s">
        <v>15</v>
      </c>
    </row>
    <row r="15" spans="1:51" s="5" customFormat="1" x14ac:dyDescent="0.25">
      <c r="A15" s="22">
        <v>11</v>
      </c>
      <c r="B15" s="22"/>
      <c r="C15" s="40"/>
      <c r="D15" s="40"/>
      <c r="E15" s="40"/>
      <c r="F15" s="55"/>
      <c r="G15" s="31"/>
      <c r="H15" s="25"/>
      <c r="I15" s="26"/>
      <c r="J15" s="26"/>
      <c r="K15" s="54">
        <f t="shared" si="25"/>
        <v>0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4">
        <f t="shared" si="32"/>
        <v>0</v>
      </c>
      <c r="AR15" s="54">
        <f t="shared" si="33"/>
        <v>0</v>
      </c>
      <c r="AS15" s="54">
        <f t="shared" si="34"/>
        <v>0</v>
      </c>
      <c r="AT15" s="54">
        <f t="shared" si="35"/>
        <v>0</v>
      </c>
      <c r="AU15" s="54">
        <f t="shared" si="36"/>
        <v>0</v>
      </c>
      <c r="AV15" s="30"/>
      <c r="AW15" s="30"/>
      <c r="AX15" s="30">
        <f t="shared" si="37"/>
        <v>0</v>
      </c>
      <c r="AY15" s="47" t="s">
        <v>15</v>
      </c>
    </row>
    <row r="16" spans="1:51" s="5" customFormat="1" x14ac:dyDescent="0.25">
      <c r="A16" s="22">
        <v>12</v>
      </c>
      <c r="B16" s="22"/>
      <c r="C16" s="40"/>
      <c r="D16" s="40"/>
      <c r="E16" s="40"/>
      <c r="F16" s="55"/>
      <c r="G16" s="31"/>
      <c r="H16" s="25"/>
      <c r="I16" s="26"/>
      <c r="J16" s="26"/>
      <c r="K16" s="54">
        <f t="shared" si="25"/>
        <v>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4">
        <f t="shared" si="32"/>
        <v>0</v>
      </c>
      <c r="AR16" s="54">
        <f t="shared" si="33"/>
        <v>0</v>
      </c>
      <c r="AS16" s="54">
        <f t="shared" si="34"/>
        <v>0</v>
      </c>
      <c r="AT16" s="54">
        <f t="shared" si="35"/>
        <v>0</v>
      </c>
      <c r="AU16" s="54">
        <f t="shared" si="36"/>
        <v>0</v>
      </c>
      <c r="AV16" s="30"/>
      <c r="AW16" s="30"/>
      <c r="AX16" s="30">
        <f t="shared" si="37"/>
        <v>0</v>
      </c>
      <c r="AY16" s="47" t="s">
        <v>15</v>
      </c>
    </row>
    <row r="17" spans="1:51" s="5" customFormat="1" x14ac:dyDescent="0.25">
      <c r="A17" s="22">
        <v>13</v>
      </c>
      <c r="B17" s="22"/>
      <c r="C17" s="40"/>
      <c r="D17" s="40"/>
      <c r="E17" s="40"/>
      <c r="F17" s="55"/>
      <c r="G17" s="31"/>
      <c r="H17" s="25"/>
      <c r="I17" s="26"/>
      <c r="J17" s="26"/>
      <c r="K17" s="54">
        <f t="shared" si="25"/>
        <v>0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4">
        <f t="shared" si="32"/>
        <v>0</v>
      </c>
      <c r="AR17" s="54">
        <f t="shared" si="33"/>
        <v>0</v>
      </c>
      <c r="AS17" s="54">
        <f t="shared" si="34"/>
        <v>0</v>
      </c>
      <c r="AT17" s="54">
        <f t="shared" si="35"/>
        <v>0</v>
      </c>
      <c r="AU17" s="54">
        <f t="shared" si="36"/>
        <v>0</v>
      </c>
      <c r="AV17" s="30"/>
      <c r="AW17" s="30"/>
      <c r="AX17" s="30">
        <f t="shared" si="37"/>
        <v>0</v>
      </c>
      <c r="AY17" s="47" t="s">
        <v>15</v>
      </c>
    </row>
    <row r="18" spans="1:51" s="5" customFormat="1" x14ac:dyDescent="0.25">
      <c r="A18" s="22">
        <v>14</v>
      </c>
      <c r="B18" s="22"/>
      <c r="C18" s="40"/>
      <c r="D18" s="40"/>
      <c r="E18" s="40"/>
      <c r="F18" s="55"/>
      <c r="G18" s="31"/>
      <c r="H18" s="25"/>
      <c r="I18" s="26"/>
      <c r="J18" s="26"/>
      <c r="K18" s="54">
        <f t="shared" si="25"/>
        <v>0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4">
        <f t="shared" si="32"/>
        <v>0</v>
      </c>
      <c r="AR18" s="54">
        <f t="shared" si="33"/>
        <v>0</v>
      </c>
      <c r="AS18" s="54">
        <f t="shared" si="34"/>
        <v>0</v>
      </c>
      <c r="AT18" s="54">
        <f t="shared" si="35"/>
        <v>0</v>
      </c>
      <c r="AU18" s="54">
        <f t="shared" si="36"/>
        <v>0</v>
      </c>
      <c r="AV18" s="30"/>
      <c r="AW18" s="30"/>
      <c r="AX18" s="30">
        <f t="shared" si="37"/>
        <v>0</v>
      </c>
      <c r="AY18" s="47" t="s">
        <v>15</v>
      </c>
    </row>
    <row r="19" spans="1:51" s="5" customFormat="1" x14ac:dyDescent="0.25">
      <c r="A19" s="22">
        <v>15</v>
      </c>
      <c r="B19" s="22"/>
      <c r="C19" s="40"/>
      <c r="D19" s="40"/>
      <c r="E19" s="40"/>
      <c r="F19" s="55"/>
      <c r="G19" s="31"/>
      <c r="H19" s="25"/>
      <c r="I19" s="26"/>
      <c r="J19" s="26"/>
      <c r="K19" s="54">
        <f t="shared" si="25"/>
        <v>0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4">
        <f t="shared" ref="AQ19" si="38">SUM(L19:AP19)</f>
        <v>0</v>
      </c>
      <c r="AR19" s="54">
        <f t="shared" ref="AR19" si="39">K19-AQ19</f>
        <v>0</v>
      </c>
      <c r="AS19" s="54">
        <f t="shared" ref="AS19" si="40">AQ19*H19</f>
        <v>0</v>
      </c>
      <c r="AT19" s="54">
        <f t="shared" ref="AT19" si="41">AR19*H19</f>
        <v>0</v>
      </c>
      <c r="AU19" s="54">
        <f t="shared" ref="AU19" si="42">J19*H19</f>
        <v>0</v>
      </c>
      <c r="AV19" s="30"/>
      <c r="AW19" s="30"/>
      <c r="AX19" s="30">
        <f t="shared" ref="AX19" si="43">AU19*SUM(AV19:AW19)%+AU19</f>
        <v>0</v>
      </c>
      <c r="AY19" s="47" t="s">
        <v>15</v>
      </c>
    </row>
    <row r="20" spans="1:51" s="5" customFormat="1" x14ac:dyDescent="0.25">
      <c r="A20" s="22">
        <v>16</v>
      </c>
      <c r="B20" s="22"/>
      <c r="C20" s="40"/>
      <c r="D20" s="40"/>
      <c r="E20" s="40"/>
      <c r="F20" s="55"/>
      <c r="G20" s="31"/>
      <c r="H20" s="25"/>
      <c r="I20" s="26"/>
      <c r="J20" s="26"/>
      <c r="K20" s="54">
        <f t="shared" si="22"/>
        <v>0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4">
        <f t="shared" si="17"/>
        <v>0</v>
      </c>
      <c r="AR20" s="54">
        <f t="shared" si="23"/>
        <v>0</v>
      </c>
      <c r="AS20" s="54">
        <f t="shared" si="24"/>
        <v>0</v>
      </c>
      <c r="AT20" s="54">
        <f t="shared" si="19"/>
        <v>0</v>
      </c>
      <c r="AU20" s="54">
        <f t="shared" si="20"/>
        <v>0</v>
      </c>
      <c r="AV20" s="30"/>
      <c r="AW20" s="30"/>
      <c r="AX20" s="30">
        <f t="shared" si="21"/>
        <v>0</v>
      </c>
      <c r="AY20" s="47" t="s">
        <v>15</v>
      </c>
    </row>
    <row r="21" spans="1:51" s="5" customFormat="1" x14ac:dyDescent="0.25">
      <c r="A21" s="22">
        <v>17</v>
      </c>
      <c r="B21" s="22"/>
      <c r="C21" s="40"/>
      <c r="D21" s="40"/>
      <c r="E21" s="40"/>
      <c r="F21" s="55"/>
      <c r="G21" s="31"/>
      <c r="H21" s="25"/>
      <c r="I21" s="26"/>
      <c r="J21" s="26"/>
      <c r="K21" s="54">
        <f t="shared" si="22"/>
        <v>0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4">
        <f t="shared" si="17"/>
        <v>0</v>
      </c>
      <c r="AR21" s="54">
        <f t="shared" si="23"/>
        <v>0</v>
      </c>
      <c r="AS21" s="54">
        <f t="shared" si="24"/>
        <v>0</v>
      </c>
      <c r="AT21" s="54">
        <f t="shared" si="19"/>
        <v>0</v>
      </c>
      <c r="AU21" s="54">
        <f t="shared" si="20"/>
        <v>0</v>
      </c>
      <c r="AV21" s="30"/>
      <c r="AW21" s="30"/>
      <c r="AX21" s="30">
        <f t="shared" si="21"/>
        <v>0</v>
      </c>
      <c r="AY21" s="47" t="s">
        <v>15</v>
      </c>
    </row>
    <row r="22" spans="1:51" s="5" customFormat="1" x14ac:dyDescent="0.25">
      <c r="A22" s="22">
        <v>18</v>
      </c>
      <c r="B22" s="22"/>
      <c r="C22" s="40"/>
      <c r="D22" s="40"/>
      <c r="E22" s="40"/>
      <c r="F22" s="55"/>
      <c r="G22" s="31"/>
      <c r="H22" s="25"/>
      <c r="I22" s="26"/>
      <c r="J22" s="26"/>
      <c r="K22" s="54">
        <f t="shared" si="22"/>
        <v>0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>
        <f t="shared" si="17"/>
        <v>0</v>
      </c>
      <c r="AR22" s="54">
        <f t="shared" si="23"/>
        <v>0</v>
      </c>
      <c r="AS22" s="54">
        <f t="shared" si="24"/>
        <v>0</v>
      </c>
      <c r="AT22" s="54">
        <f t="shared" si="19"/>
        <v>0</v>
      </c>
      <c r="AU22" s="54">
        <f t="shared" si="20"/>
        <v>0</v>
      </c>
      <c r="AV22" s="30"/>
      <c r="AW22" s="30"/>
      <c r="AX22" s="30">
        <f t="shared" si="21"/>
        <v>0</v>
      </c>
      <c r="AY22" s="47" t="s">
        <v>15</v>
      </c>
    </row>
    <row r="23" spans="1:51" s="5" customFormat="1" x14ac:dyDescent="0.25">
      <c r="A23" s="22">
        <v>19</v>
      </c>
      <c r="B23" s="22"/>
      <c r="C23" s="40"/>
      <c r="D23" s="40"/>
      <c r="E23" s="40"/>
      <c r="F23" s="55"/>
      <c r="G23" s="31"/>
      <c r="H23" s="25"/>
      <c r="I23" s="26"/>
      <c r="J23" s="26"/>
      <c r="K23" s="54">
        <f t="shared" si="22"/>
        <v>0</v>
      </c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4">
        <f t="shared" si="17"/>
        <v>0</v>
      </c>
      <c r="AR23" s="54">
        <f t="shared" si="23"/>
        <v>0</v>
      </c>
      <c r="AS23" s="54">
        <f t="shared" si="24"/>
        <v>0</v>
      </c>
      <c r="AT23" s="54">
        <f t="shared" si="19"/>
        <v>0</v>
      </c>
      <c r="AU23" s="54">
        <f t="shared" si="20"/>
        <v>0</v>
      </c>
      <c r="AV23" s="30"/>
      <c r="AW23" s="30"/>
      <c r="AX23" s="30">
        <f t="shared" si="21"/>
        <v>0</v>
      </c>
      <c r="AY23" s="47" t="s">
        <v>15</v>
      </c>
    </row>
    <row r="24" spans="1:51" s="5" customFormat="1" x14ac:dyDescent="0.25">
      <c r="A24" s="22">
        <v>20</v>
      </c>
      <c r="B24" s="22"/>
      <c r="C24" s="40"/>
      <c r="D24" s="40"/>
      <c r="E24" s="40"/>
      <c r="F24" s="55"/>
      <c r="G24" s="31"/>
      <c r="H24" s="25"/>
      <c r="I24" s="26"/>
      <c r="J24" s="26"/>
      <c r="K24" s="54">
        <f t="shared" si="22"/>
        <v>0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4">
        <f t="shared" si="17"/>
        <v>0</v>
      </c>
      <c r="AR24" s="54">
        <f t="shared" si="23"/>
        <v>0</v>
      </c>
      <c r="AS24" s="54">
        <f t="shared" si="24"/>
        <v>0</v>
      </c>
      <c r="AT24" s="54">
        <f t="shared" si="19"/>
        <v>0</v>
      </c>
      <c r="AU24" s="54">
        <f t="shared" si="20"/>
        <v>0</v>
      </c>
      <c r="AV24" s="30"/>
      <c r="AW24" s="30"/>
      <c r="AX24" s="30">
        <f t="shared" si="21"/>
        <v>0</v>
      </c>
      <c r="AY24" s="47" t="s">
        <v>15</v>
      </c>
    </row>
    <row r="25" spans="1:51" s="5" customFormat="1" x14ac:dyDescent="0.25">
      <c r="A25" s="22">
        <v>21</v>
      </c>
      <c r="B25" s="22"/>
      <c r="C25" s="40"/>
      <c r="D25" s="40"/>
      <c r="E25" s="40"/>
      <c r="F25" s="55"/>
      <c r="G25" s="31"/>
      <c r="H25" s="25"/>
      <c r="I25" s="26"/>
      <c r="J25" s="26"/>
      <c r="K25" s="54">
        <f t="shared" si="22"/>
        <v>0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>
        <f t="shared" si="17"/>
        <v>0</v>
      </c>
      <c r="AR25" s="54">
        <f t="shared" si="23"/>
        <v>0</v>
      </c>
      <c r="AS25" s="54">
        <f t="shared" si="24"/>
        <v>0</v>
      </c>
      <c r="AT25" s="54">
        <f t="shared" si="19"/>
        <v>0</v>
      </c>
      <c r="AU25" s="54">
        <f t="shared" si="20"/>
        <v>0</v>
      </c>
      <c r="AV25" s="30"/>
      <c r="AW25" s="30"/>
      <c r="AX25" s="30">
        <f t="shared" si="21"/>
        <v>0</v>
      </c>
      <c r="AY25" s="47" t="s">
        <v>15</v>
      </c>
    </row>
    <row r="26" spans="1:51" s="5" customFormat="1" x14ac:dyDescent="0.25">
      <c r="A26" s="22">
        <v>22</v>
      </c>
      <c r="B26" s="22"/>
      <c r="C26" s="40"/>
      <c r="D26" s="40"/>
      <c r="E26" s="40"/>
      <c r="F26" s="55"/>
      <c r="G26" s="31"/>
      <c r="H26" s="25"/>
      <c r="I26" s="26"/>
      <c r="J26" s="26"/>
      <c r="K26" s="54">
        <f t="shared" si="22"/>
        <v>0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>
        <f t="shared" si="17"/>
        <v>0</v>
      </c>
      <c r="AR26" s="54">
        <f t="shared" si="23"/>
        <v>0</v>
      </c>
      <c r="AS26" s="54">
        <f t="shared" si="24"/>
        <v>0</v>
      </c>
      <c r="AT26" s="54">
        <f t="shared" si="19"/>
        <v>0</v>
      </c>
      <c r="AU26" s="54">
        <f t="shared" si="20"/>
        <v>0</v>
      </c>
      <c r="AV26" s="30"/>
      <c r="AW26" s="30"/>
      <c r="AX26" s="30">
        <f t="shared" si="21"/>
        <v>0</v>
      </c>
      <c r="AY26" s="47" t="s">
        <v>15</v>
      </c>
    </row>
    <row r="27" spans="1:51" s="5" customFormat="1" x14ac:dyDescent="0.25">
      <c r="A27" s="22">
        <v>23</v>
      </c>
      <c r="B27" s="22"/>
      <c r="C27" s="40"/>
      <c r="D27" s="40"/>
      <c r="E27" s="40"/>
      <c r="F27" s="55"/>
      <c r="G27" s="31"/>
      <c r="H27" s="25"/>
      <c r="I27" s="26"/>
      <c r="J27" s="26"/>
      <c r="K27" s="54">
        <f t="shared" si="22"/>
        <v>0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4">
        <f t="shared" si="17"/>
        <v>0</v>
      </c>
      <c r="AR27" s="54">
        <f t="shared" si="23"/>
        <v>0</v>
      </c>
      <c r="AS27" s="54">
        <f t="shared" si="24"/>
        <v>0</v>
      </c>
      <c r="AT27" s="54">
        <f t="shared" si="19"/>
        <v>0</v>
      </c>
      <c r="AU27" s="54">
        <f t="shared" si="20"/>
        <v>0</v>
      </c>
      <c r="AV27" s="30"/>
      <c r="AW27" s="30"/>
      <c r="AX27" s="30">
        <f t="shared" si="21"/>
        <v>0</v>
      </c>
      <c r="AY27" s="47" t="s">
        <v>15</v>
      </c>
    </row>
    <row r="28" spans="1:51" s="5" customFormat="1" x14ac:dyDescent="0.25">
      <c r="A28" s="22">
        <v>24</v>
      </c>
      <c r="B28" s="22"/>
      <c r="C28" s="40"/>
      <c r="D28" s="40"/>
      <c r="E28" s="40"/>
      <c r="F28" s="55"/>
      <c r="G28" s="31"/>
      <c r="H28" s="25"/>
      <c r="I28" s="26"/>
      <c r="J28" s="26"/>
      <c r="K28" s="54">
        <f t="shared" si="22"/>
        <v>0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4">
        <f t="shared" si="17"/>
        <v>0</v>
      </c>
      <c r="AR28" s="54">
        <f t="shared" si="23"/>
        <v>0</v>
      </c>
      <c r="AS28" s="54">
        <f t="shared" si="24"/>
        <v>0</v>
      </c>
      <c r="AT28" s="54">
        <f t="shared" si="19"/>
        <v>0</v>
      </c>
      <c r="AU28" s="54">
        <f t="shared" si="20"/>
        <v>0</v>
      </c>
      <c r="AV28" s="30"/>
      <c r="AW28" s="30"/>
      <c r="AX28" s="30">
        <f t="shared" si="21"/>
        <v>0</v>
      </c>
      <c r="AY28" s="47" t="s">
        <v>15</v>
      </c>
    </row>
    <row r="29" spans="1:51" s="5" customFormat="1" x14ac:dyDescent="0.25">
      <c r="A29" s="22">
        <v>25</v>
      </c>
      <c r="B29" s="22"/>
      <c r="C29" s="40"/>
      <c r="D29" s="40"/>
      <c r="E29" s="40"/>
      <c r="F29" s="55"/>
      <c r="G29" s="31"/>
      <c r="H29" s="25"/>
      <c r="I29" s="26"/>
      <c r="J29" s="26"/>
      <c r="K29" s="54">
        <f t="shared" si="22"/>
        <v>0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4">
        <f t="shared" si="17"/>
        <v>0</v>
      </c>
      <c r="AR29" s="54">
        <f t="shared" si="23"/>
        <v>0</v>
      </c>
      <c r="AS29" s="54">
        <f t="shared" si="24"/>
        <v>0</v>
      </c>
      <c r="AT29" s="54">
        <f t="shared" si="19"/>
        <v>0</v>
      </c>
      <c r="AU29" s="54">
        <f t="shared" si="20"/>
        <v>0</v>
      </c>
      <c r="AV29" s="30"/>
      <c r="AW29" s="30"/>
      <c r="AX29" s="30">
        <f t="shared" si="21"/>
        <v>0</v>
      </c>
      <c r="AY29" s="47" t="s">
        <v>15</v>
      </c>
    </row>
    <row r="30" spans="1:51" s="5" customFormat="1" x14ac:dyDescent="0.25">
      <c r="A30" s="22">
        <v>26</v>
      </c>
      <c r="B30" s="22"/>
      <c r="C30" s="40"/>
      <c r="D30" s="40"/>
      <c r="E30" s="40"/>
      <c r="F30" s="55"/>
      <c r="G30" s="31"/>
      <c r="H30" s="25"/>
      <c r="I30" s="26"/>
      <c r="J30" s="26"/>
      <c r="K30" s="54">
        <f t="shared" si="22"/>
        <v>0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4">
        <f t="shared" si="17"/>
        <v>0</v>
      </c>
      <c r="AR30" s="54">
        <f t="shared" si="23"/>
        <v>0</v>
      </c>
      <c r="AS30" s="54">
        <f t="shared" si="24"/>
        <v>0</v>
      </c>
      <c r="AT30" s="54">
        <f t="shared" si="19"/>
        <v>0</v>
      </c>
      <c r="AU30" s="54">
        <f t="shared" si="20"/>
        <v>0</v>
      </c>
      <c r="AV30" s="30"/>
      <c r="AW30" s="30"/>
      <c r="AX30" s="30">
        <f t="shared" si="21"/>
        <v>0</v>
      </c>
      <c r="AY30" s="47" t="s">
        <v>15</v>
      </c>
    </row>
    <row r="31" spans="1:51" s="5" customFormat="1" x14ac:dyDescent="0.25">
      <c r="A31" s="22">
        <v>27</v>
      </c>
      <c r="B31" s="22"/>
      <c r="C31" s="40"/>
      <c r="D31" s="40"/>
      <c r="E31" s="40"/>
      <c r="F31" s="55"/>
      <c r="G31" s="31"/>
      <c r="H31" s="25"/>
      <c r="I31" s="26"/>
      <c r="J31" s="26"/>
      <c r="K31" s="54">
        <f t="shared" si="22"/>
        <v>0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4">
        <f t="shared" si="17"/>
        <v>0</v>
      </c>
      <c r="AR31" s="54">
        <f t="shared" si="23"/>
        <v>0</v>
      </c>
      <c r="AS31" s="54">
        <f t="shared" si="24"/>
        <v>0</v>
      </c>
      <c r="AT31" s="54">
        <f t="shared" si="19"/>
        <v>0</v>
      </c>
      <c r="AU31" s="54">
        <f t="shared" si="20"/>
        <v>0</v>
      </c>
      <c r="AV31" s="30"/>
      <c r="AW31" s="30"/>
      <c r="AX31" s="30">
        <f t="shared" si="21"/>
        <v>0</v>
      </c>
      <c r="AY31" s="47" t="s">
        <v>15</v>
      </c>
    </row>
    <row r="32" spans="1:51" s="5" customFormat="1" x14ac:dyDescent="0.25">
      <c r="A32" s="22">
        <v>28</v>
      </c>
      <c r="B32" s="22"/>
      <c r="C32" s="40"/>
      <c r="D32" s="40"/>
      <c r="E32" s="40"/>
      <c r="F32" s="55"/>
      <c r="G32" s="31"/>
      <c r="H32" s="25"/>
      <c r="I32" s="26"/>
      <c r="J32" s="26"/>
      <c r="K32" s="54">
        <f t="shared" si="22"/>
        <v>0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4">
        <f t="shared" si="17"/>
        <v>0</v>
      </c>
      <c r="AR32" s="54">
        <f t="shared" si="23"/>
        <v>0</v>
      </c>
      <c r="AS32" s="54">
        <f t="shared" si="24"/>
        <v>0</v>
      </c>
      <c r="AT32" s="54">
        <f t="shared" si="19"/>
        <v>0</v>
      </c>
      <c r="AU32" s="54">
        <f t="shared" si="20"/>
        <v>0</v>
      </c>
      <c r="AV32" s="30"/>
      <c r="AW32" s="30"/>
      <c r="AX32" s="30">
        <f t="shared" si="21"/>
        <v>0</v>
      </c>
      <c r="AY32" s="47" t="s">
        <v>15</v>
      </c>
    </row>
    <row r="33" spans="1:51" s="5" customFormat="1" x14ac:dyDescent="0.25">
      <c r="A33" s="22">
        <v>29</v>
      </c>
      <c r="B33" s="22"/>
      <c r="C33" s="40"/>
      <c r="D33" s="40"/>
      <c r="E33" s="40"/>
      <c r="F33" s="55"/>
      <c r="G33" s="31"/>
      <c r="H33" s="25"/>
      <c r="I33" s="26"/>
      <c r="J33" s="26"/>
      <c r="K33" s="54">
        <f t="shared" si="22"/>
        <v>0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4">
        <f t="shared" si="17"/>
        <v>0</v>
      </c>
      <c r="AR33" s="54">
        <f t="shared" si="23"/>
        <v>0</v>
      </c>
      <c r="AS33" s="54">
        <f t="shared" si="24"/>
        <v>0</v>
      </c>
      <c r="AT33" s="54">
        <f t="shared" si="19"/>
        <v>0</v>
      </c>
      <c r="AU33" s="54">
        <f t="shared" si="20"/>
        <v>0</v>
      </c>
      <c r="AV33" s="30"/>
      <c r="AW33" s="30"/>
      <c r="AX33" s="30">
        <f t="shared" si="21"/>
        <v>0</v>
      </c>
      <c r="AY33" s="47" t="s">
        <v>15</v>
      </c>
    </row>
    <row r="34" spans="1:51" s="5" customFormat="1" x14ac:dyDescent="0.25">
      <c r="A34" s="22">
        <v>30</v>
      </c>
      <c r="B34" s="22"/>
      <c r="C34" s="40"/>
      <c r="D34" s="40"/>
      <c r="E34" s="40"/>
      <c r="F34" s="55"/>
      <c r="G34" s="31"/>
      <c r="H34" s="25"/>
      <c r="I34" s="26"/>
      <c r="J34" s="26"/>
      <c r="K34" s="54">
        <f t="shared" si="22"/>
        <v>0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4">
        <f t="shared" si="17"/>
        <v>0</v>
      </c>
      <c r="AR34" s="54">
        <f t="shared" si="23"/>
        <v>0</v>
      </c>
      <c r="AS34" s="54">
        <f t="shared" si="24"/>
        <v>0</v>
      </c>
      <c r="AT34" s="54">
        <f t="shared" si="19"/>
        <v>0</v>
      </c>
      <c r="AU34" s="54">
        <f t="shared" si="20"/>
        <v>0</v>
      </c>
      <c r="AV34" s="30"/>
      <c r="AW34" s="30"/>
      <c r="AX34" s="30">
        <f t="shared" si="21"/>
        <v>0</v>
      </c>
      <c r="AY34" s="47" t="s">
        <v>15</v>
      </c>
    </row>
    <row r="35" spans="1:51" s="5" customFormat="1" x14ac:dyDescent="0.25">
      <c r="A35" s="22">
        <v>31</v>
      </c>
      <c r="B35" s="22"/>
      <c r="C35" s="40"/>
      <c r="D35" s="40"/>
      <c r="E35" s="40"/>
      <c r="F35" s="55"/>
      <c r="G35" s="31"/>
      <c r="H35" s="25"/>
      <c r="I35" s="26"/>
      <c r="J35" s="26"/>
      <c r="K35" s="54">
        <f t="shared" ref="K35:K80" si="44">J35+I35</f>
        <v>0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4">
        <f t="shared" ref="AQ35:AQ77" si="45">SUM(L35:AP35)</f>
        <v>0</v>
      </c>
      <c r="AR35" s="54">
        <f t="shared" ref="AR35:AR77" si="46">K35-AQ35</f>
        <v>0</v>
      </c>
      <c r="AS35" s="54">
        <f t="shared" ref="AS35:AS77" si="47">AQ35*H35</f>
        <v>0</v>
      </c>
      <c r="AT35" s="54">
        <f t="shared" ref="AT35:AT77" si="48">AR35*H35</f>
        <v>0</v>
      </c>
      <c r="AU35" s="54">
        <f t="shared" ref="AU35:AU77" si="49">J35*H35</f>
        <v>0</v>
      </c>
      <c r="AV35" s="30"/>
      <c r="AW35" s="30"/>
      <c r="AX35" s="30">
        <f t="shared" ref="AX35:AX77" si="50">AU35*SUM(AV35:AW35)%+AU35</f>
        <v>0</v>
      </c>
      <c r="AY35" s="47" t="s">
        <v>15</v>
      </c>
    </row>
    <row r="36" spans="1:51" s="5" customFormat="1" x14ac:dyDescent="0.25">
      <c r="A36" s="22">
        <v>32</v>
      </c>
      <c r="B36" s="22"/>
      <c r="C36" s="40"/>
      <c r="D36" s="40"/>
      <c r="E36" s="40"/>
      <c r="F36" s="55"/>
      <c r="G36" s="31"/>
      <c r="H36" s="25"/>
      <c r="I36" s="26"/>
      <c r="J36" s="26"/>
      <c r="K36" s="54">
        <f t="shared" si="44"/>
        <v>0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4">
        <f t="shared" si="45"/>
        <v>0</v>
      </c>
      <c r="AR36" s="54">
        <f t="shared" si="46"/>
        <v>0</v>
      </c>
      <c r="AS36" s="54">
        <f t="shared" si="47"/>
        <v>0</v>
      </c>
      <c r="AT36" s="54">
        <f t="shared" si="48"/>
        <v>0</v>
      </c>
      <c r="AU36" s="54">
        <f t="shared" si="49"/>
        <v>0</v>
      </c>
      <c r="AV36" s="30"/>
      <c r="AW36" s="30"/>
      <c r="AX36" s="30">
        <f t="shared" si="50"/>
        <v>0</v>
      </c>
      <c r="AY36" s="47" t="s">
        <v>15</v>
      </c>
    </row>
    <row r="37" spans="1:51" s="5" customFormat="1" x14ac:dyDescent="0.25">
      <c r="A37" s="22">
        <v>33</v>
      </c>
      <c r="B37" s="22"/>
      <c r="C37" s="40"/>
      <c r="D37" s="40"/>
      <c r="E37" s="40"/>
      <c r="F37" s="55"/>
      <c r="G37" s="31"/>
      <c r="H37" s="25"/>
      <c r="I37" s="26"/>
      <c r="J37" s="26"/>
      <c r="K37" s="54">
        <f t="shared" ref="K37" si="51">J37+I37</f>
        <v>0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4">
        <f t="shared" ref="AQ37" si="52">SUM(L37:AP37)</f>
        <v>0</v>
      </c>
      <c r="AR37" s="54">
        <f t="shared" ref="AR37" si="53">K37-AQ37</f>
        <v>0</v>
      </c>
      <c r="AS37" s="54">
        <f t="shared" ref="AS37" si="54">AQ37*H37</f>
        <v>0</v>
      </c>
      <c r="AT37" s="54">
        <f t="shared" ref="AT37" si="55">AR37*H37</f>
        <v>0</v>
      </c>
      <c r="AU37" s="54">
        <f t="shared" ref="AU37" si="56">J37*H37</f>
        <v>0</v>
      </c>
      <c r="AV37" s="30"/>
      <c r="AW37" s="30"/>
      <c r="AX37" s="30">
        <f t="shared" ref="AX37" si="57">AU37*SUM(AV37:AW37)%+AU37</f>
        <v>0</v>
      </c>
      <c r="AY37" s="47" t="s">
        <v>15</v>
      </c>
    </row>
    <row r="38" spans="1:51" s="5" customFormat="1" x14ac:dyDescent="0.25">
      <c r="A38" s="22">
        <v>34</v>
      </c>
      <c r="B38" s="22"/>
      <c r="C38" s="40"/>
      <c r="D38" s="40"/>
      <c r="E38" s="40"/>
      <c r="F38" s="55"/>
      <c r="G38" s="31"/>
      <c r="H38" s="25"/>
      <c r="I38" s="26"/>
      <c r="J38" s="26"/>
      <c r="K38" s="54">
        <f t="shared" si="44"/>
        <v>0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4">
        <f t="shared" si="45"/>
        <v>0</v>
      </c>
      <c r="AR38" s="54">
        <f t="shared" si="46"/>
        <v>0</v>
      </c>
      <c r="AS38" s="54">
        <f t="shared" si="47"/>
        <v>0</v>
      </c>
      <c r="AT38" s="54">
        <f t="shared" si="48"/>
        <v>0</v>
      </c>
      <c r="AU38" s="54">
        <f t="shared" si="49"/>
        <v>0</v>
      </c>
      <c r="AV38" s="30"/>
      <c r="AW38" s="30"/>
      <c r="AX38" s="30">
        <f t="shared" si="50"/>
        <v>0</v>
      </c>
      <c r="AY38" s="47" t="s">
        <v>15</v>
      </c>
    </row>
    <row r="39" spans="1:51" s="5" customFormat="1" x14ac:dyDescent="0.25">
      <c r="A39" s="22">
        <v>35</v>
      </c>
      <c r="B39" s="22"/>
      <c r="C39" s="40"/>
      <c r="D39" s="40"/>
      <c r="E39" s="40"/>
      <c r="F39" s="55"/>
      <c r="G39" s="31"/>
      <c r="H39" s="25"/>
      <c r="I39" s="26"/>
      <c r="J39" s="26"/>
      <c r="K39" s="54">
        <f t="shared" si="44"/>
        <v>0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4">
        <f t="shared" si="45"/>
        <v>0</v>
      </c>
      <c r="AR39" s="54">
        <f t="shared" si="46"/>
        <v>0</v>
      </c>
      <c r="AS39" s="54">
        <f t="shared" si="47"/>
        <v>0</v>
      </c>
      <c r="AT39" s="54">
        <f t="shared" si="48"/>
        <v>0</v>
      </c>
      <c r="AU39" s="54">
        <f t="shared" si="49"/>
        <v>0</v>
      </c>
      <c r="AV39" s="30"/>
      <c r="AW39" s="30"/>
      <c r="AX39" s="30">
        <f t="shared" si="50"/>
        <v>0</v>
      </c>
      <c r="AY39" s="47" t="s">
        <v>15</v>
      </c>
    </row>
    <row r="40" spans="1:51" s="5" customFormat="1" x14ac:dyDescent="0.25">
      <c r="A40" s="22">
        <v>36</v>
      </c>
      <c r="B40" s="22"/>
      <c r="C40" s="40"/>
      <c r="D40" s="40"/>
      <c r="E40" s="40"/>
      <c r="F40" s="55"/>
      <c r="G40" s="31"/>
      <c r="H40" s="25"/>
      <c r="I40" s="26"/>
      <c r="J40" s="26"/>
      <c r="K40" s="54">
        <f t="shared" si="44"/>
        <v>0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4">
        <f t="shared" si="45"/>
        <v>0</v>
      </c>
      <c r="AR40" s="54">
        <f t="shared" si="46"/>
        <v>0</v>
      </c>
      <c r="AS40" s="54">
        <f t="shared" si="47"/>
        <v>0</v>
      </c>
      <c r="AT40" s="54">
        <f t="shared" si="48"/>
        <v>0</v>
      </c>
      <c r="AU40" s="54">
        <f t="shared" si="49"/>
        <v>0</v>
      </c>
      <c r="AV40" s="30"/>
      <c r="AW40" s="30"/>
      <c r="AX40" s="30">
        <f t="shared" si="50"/>
        <v>0</v>
      </c>
      <c r="AY40" s="47" t="s">
        <v>15</v>
      </c>
    </row>
    <row r="41" spans="1:51" s="5" customFormat="1" x14ac:dyDescent="0.25">
      <c r="A41" s="22">
        <v>37</v>
      </c>
      <c r="B41" s="22"/>
      <c r="C41" s="40"/>
      <c r="D41" s="40"/>
      <c r="E41" s="40"/>
      <c r="F41" s="55"/>
      <c r="G41" s="31"/>
      <c r="H41" s="25"/>
      <c r="I41" s="26"/>
      <c r="J41" s="26"/>
      <c r="K41" s="54">
        <f t="shared" si="44"/>
        <v>0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4">
        <f t="shared" si="45"/>
        <v>0</v>
      </c>
      <c r="AR41" s="54">
        <f t="shared" si="46"/>
        <v>0</v>
      </c>
      <c r="AS41" s="54">
        <f t="shared" si="47"/>
        <v>0</v>
      </c>
      <c r="AT41" s="54">
        <f t="shared" si="48"/>
        <v>0</v>
      </c>
      <c r="AU41" s="54">
        <f t="shared" si="49"/>
        <v>0</v>
      </c>
      <c r="AV41" s="30"/>
      <c r="AW41" s="30"/>
      <c r="AX41" s="30">
        <f t="shared" si="50"/>
        <v>0</v>
      </c>
      <c r="AY41" s="47" t="s">
        <v>15</v>
      </c>
    </row>
    <row r="42" spans="1:51" s="5" customFormat="1" x14ac:dyDescent="0.25">
      <c r="A42" s="22">
        <v>38</v>
      </c>
      <c r="B42" s="22"/>
      <c r="C42" s="40"/>
      <c r="D42" s="40"/>
      <c r="E42" s="40"/>
      <c r="F42" s="55"/>
      <c r="G42" s="31"/>
      <c r="H42" s="25"/>
      <c r="I42" s="26"/>
      <c r="J42" s="26"/>
      <c r="K42" s="54">
        <f t="shared" si="44"/>
        <v>0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4">
        <f t="shared" ref="AQ42:AQ46" si="58">SUM(L42:AP42)</f>
        <v>0</v>
      </c>
      <c r="AR42" s="54">
        <f t="shared" ref="AR42:AR46" si="59">K42-AQ42</f>
        <v>0</v>
      </c>
      <c r="AS42" s="54">
        <f t="shared" ref="AS42:AS46" si="60">AQ42*H42</f>
        <v>0</v>
      </c>
      <c r="AT42" s="54">
        <f t="shared" ref="AT42:AT46" si="61">AR42*H42</f>
        <v>0</v>
      </c>
      <c r="AU42" s="54">
        <f t="shared" ref="AU42:AU46" si="62">J42*H42</f>
        <v>0</v>
      </c>
      <c r="AV42" s="30"/>
      <c r="AW42" s="30"/>
      <c r="AX42" s="30">
        <f t="shared" ref="AX42:AX46" si="63">AU42*SUM(AV42:AW42)%+AU42</f>
        <v>0</v>
      </c>
      <c r="AY42" s="47" t="s">
        <v>15</v>
      </c>
    </row>
    <row r="43" spans="1:51" s="5" customFormat="1" x14ac:dyDescent="0.25">
      <c r="A43" s="22">
        <v>39</v>
      </c>
      <c r="B43" s="22"/>
      <c r="C43" s="40"/>
      <c r="D43" s="40"/>
      <c r="E43" s="40"/>
      <c r="F43" s="55"/>
      <c r="G43" s="31"/>
      <c r="H43" s="25"/>
      <c r="I43" s="26"/>
      <c r="J43" s="26"/>
      <c r="K43" s="54">
        <f t="shared" si="44"/>
        <v>0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4">
        <f t="shared" si="58"/>
        <v>0</v>
      </c>
      <c r="AR43" s="54">
        <f t="shared" si="59"/>
        <v>0</v>
      </c>
      <c r="AS43" s="54">
        <f t="shared" si="60"/>
        <v>0</v>
      </c>
      <c r="AT43" s="54">
        <f t="shared" si="61"/>
        <v>0</v>
      </c>
      <c r="AU43" s="54">
        <f t="shared" si="62"/>
        <v>0</v>
      </c>
      <c r="AV43" s="30"/>
      <c r="AW43" s="30"/>
      <c r="AX43" s="30">
        <f t="shared" si="63"/>
        <v>0</v>
      </c>
      <c r="AY43" s="47" t="s">
        <v>15</v>
      </c>
    </row>
    <row r="44" spans="1:51" s="5" customFormat="1" x14ac:dyDescent="0.25">
      <c r="A44" s="22">
        <v>40</v>
      </c>
      <c r="B44" s="22"/>
      <c r="C44" s="40"/>
      <c r="D44" s="40"/>
      <c r="E44" s="40"/>
      <c r="F44" s="55"/>
      <c r="G44" s="31"/>
      <c r="H44" s="25"/>
      <c r="I44" s="26"/>
      <c r="J44" s="26"/>
      <c r="K44" s="54">
        <f t="shared" si="44"/>
        <v>0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4">
        <f t="shared" si="58"/>
        <v>0</v>
      </c>
      <c r="AR44" s="54">
        <f t="shared" si="59"/>
        <v>0</v>
      </c>
      <c r="AS44" s="54">
        <f t="shared" si="60"/>
        <v>0</v>
      </c>
      <c r="AT44" s="54">
        <f t="shared" si="61"/>
        <v>0</v>
      </c>
      <c r="AU44" s="54">
        <f t="shared" si="62"/>
        <v>0</v>
      </c>
      <c r="AV44" s="30"/>
      <c r="AW44" s="30"/>
      <c r="AX44" s="30">
        <f t="shared" si="63"/>
        <v>0</v>
      </c>
      <c r="AY44" s="47" t="s">
        <v>15</v>
      </c>
    </row>
    <row r="45" spans="1:51" s="5" customFormat="1" x14ac:dyDescent="0.25">
      <c r="A45" s="22">
        <v>41</v>
      </c>
      <c r="B45" s="22"/>
      <c r="C45" s="40"/>
      <c r="D45" s="40"/>
      <c r="E45" s="40"/>
      <c r="F45" s="55"/>
      <c r="G45" s="31"/>
      <c r="H45" s="25"/>
      <c r="I45" s="26"/>
      <c r="J45" s="26"/>
      <c r="K45" s="54">
        <f t="shared" si="44"/>
        <v>0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4">
        <f t="shared" si="58"/>
        <v>0</v>
      </c>
      <c r="AR45" s="54">
        <f t="shared" si="59"/>
        <v>0</v>
      </c>
      <c r="AS45" s="54">
        <f t="shared" si="60"/>
        <v>0</v>
      </c>
      <c r="AT45" s="54">
        <f t="shared" si="61"/>
        <v>0</v>
      </c>
      <c r="AU45" s="54">
        <f t="shared" si="62"/>
        <v>0</v>
      </c>
      <c r="AV45" s="30"/>
      <c r="AW45" s="30"/>
      <c r="AX45" s="30">
        <f t="shared" si="63"/>
        <v>0</v>
      </c>
      <c r="AY45" s="47" t="s">
        <v>15</v>
      </c>
    </row>
    <row r="46" spans="1:51" s="5" customFormat="1" x14ac:dyDescent="0.25">
      <c r="A46" s="22">
        <v>42</v>
      </c>
      <c r="B46" s="22"/>
      <c r="C46" s="40"/>
      <c r="D46" s="40"/>
      <c r="E46" s="40"/>
      <c r="F46" s="55"/>
      <c r="G46" s="31"/>
      <c r="H46" s="25"/>
      <c r="I46" s="26"/>
      <c r="J46" s="26"/>
      <c r="K46" s="54">
        <f t="shared" si="44"/>
        <v>0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4">
        <f t="shared" si="58"/>
        <v>0</v>
      </c>
      <c r="AR46" s="54">
        <f t="shared" si="59"/>
        <v>0</v>
      </c>
      <c r="AS46" s="54">
        <f t="shared" si="60"/>
        <v>0</v>
      </c>
      <c r="AT46" s="54">
        <f t="shared" si="61"/>
        <v>0</v>
      </c>
      <c r="AU46" s="54">
        <f t="shared" si="62"/>
        <v>0</v>
      </c>
      <c r="AV46" s="30"/>
      <c r="AW46" s="30"/>
      <c r="AX46" s="30">
        <f t="shared" si="63"/>
        <v>0</v>
      </c>
      <c r="AY46" s="47" t="s">
        <v>15</v>
      </c>
    </row>
    <row r="47" spans="1:51" s="5" customFormat="1" x14ac:dyDescent="0.25">
      <c r="A47" s="22">
        <v>43</v>
      </c>
      <c r="B47" s="22"/>
      <c r="C47" s="40"/>
      <c r="D47" s="40"/>
      <c r="E47" s="40"/>
      <c r="F47" s="55"/>
      <c r="G47" s="31"/>
      <c r="H47" s="25"/>
      <c r="I47" s="26"/>
      <c r="J47" s="26"/>
      <c r="K47" s="54">
        <f t="shared" si="44"/>
        <v>0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4">
        <f t="shared" si="45"/>
        <v>0</v>
      </c>
      <c r="AR47" s="54">
        <f t="shared" si="46"/>
        <v>0</v>
      </c>
      <c r="AS47" s="54">
        <f t="shared" si="47"/>
        <v>0</v>
      </c>
      <c r="AT47" s="54">
        <f t="shared" si="48"/>
        <v>0</v>
      </c>
      <c r="AU47" s="54">
        <f t="shared" si="49"/>
        <v>0</v>
      </c>
      <c r="AV47" s="30"/>
      <c r="AW47" s="30"/>
      <c r="AX47" s="30">
        <f t="shared" si="50"/>
        <v>0</v>
      </c>
      <c r="AY47" s="47" t="s">
        <v>15</v>
      </c>
    </row>
    <row r="48" spans="1:51" s="5" customFormat="1" x14ac:dyDescent="0.25">
      <c r="A48" s="22">
        <v>44</v>
      </c>
      <c r="B48" s="22"/>
      <c r="C48" s="40"/>
      <c r="D48" s="40"/>
      <c r="E48" s="40"/>
      <c r="F48" s="55"/>
      <c r="G48" s="31"/>
      <c r="H48" s="25"/>
      <c r="I48" s="26"/>
      <c r="J48" s="26"/>
      <c r="K48" s="54">
        <f t="shared" si="44"/>
        <v>0</v>
      </c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4">
        <f t="shared" si="45"/>
        <v>0</v>
      </c>
      <c r="AR48" s="54">
        <f t="shared" si="46"/>
        <v>0</v>
      </c>
      <c r="AS48" s="54">
        <f t="shared" si="47"/>
        <v>0</v>
      </c>
      <c r="AT48" s="54">
        <f t="shared" si="48"/>
        <v>0</v>
      </c>
      <c r="AU48" s="54">
        <f t="shared" si="49"/>
        <v>0</v>
      </c>
      <c r="AV48" s="30"/>
      <c r="AW48" s="30"/>
      <c r="AX48" s="30">
        <f t="shared" si="50"/>
        <v>0</v>
      </c>
      <c r="AY48" s="47" t="s">
        <v>15</v>
      </c>
    </row>
    <row r="49" spans="1:51" s="5" customFormat="1" x14ac:dyDescent="0.25">
      <c r="A49" s="22">
        <v>45</v>
      </c>
      <c r="B49" s="22"/>
      <c r="C49" s="40"/>
      <c r="D49" s="40"/>
      <c r="E49" s="40"/>
      <c r="F49" s="55"/>
      <c r="G49" s="31"/>
      <c r="H49" s="25"/>
      <c r="I49" s="26"/>
      <c r="J49" s="26"/>
      <c r="K49" s="54">
        <f t="shared" si="44"/>
        <v>0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4">
        <f t="shared" si="45"/>
        <v>0</v>
      </c>
      <c r="AR49" s="54">
        <f t="shared" si="46"/>
        <v>0</v>
      </c>
      <c r="AS49" s="54">
        <f t="shared" si="47"/>
        <v>0</v>
      </c>
      <c r="AT49" s="54">
        <f t="shared" si="48"/>
        <v>0</v>
      </c>
      <c r="AU49" s="54">
        <f t="shared" si="49"/>
        <v>0</v>
      </c>
      <c r="AV49" s="30"/>
      <c r="AW49" s="30"/>
      <c r="AX49" s="30">
        <f t="shared" si="50"/>
        <v>0</v>
      </c>
      <c r="AY49" s="47" t="s">
        <v>15</v>
      </c>
    </row>
    <row r="50" spans="1:51" s="5" customFormat="1" x14ac:dyDescent="0.25">
      <c r="A50" s="22">
        <v>46</v>
      </c>
      <c r="B50" s="22"/>
      <c r="C50" s="40"/>
      <c r="D50" s="40"/>
      <c r="E50" s="40"/>
      <c r="F50" s="55"/>
      <c r="G50" s="31"/>
      <c r="H50" s="25"/>
      <c r="I50" s="26"/>
      <c r="J50" s="26"/>
      <c r="K50" s="54">
        <f t="shared" si="44"/>
        <v>0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4">
        <f t="shared" si="45"/>
        <v>0</v>
      </c>
      <c r="AR50" s="54">
        <f t="shared" si="46"/>
        <v>0</v>
      </c>
      <c r="AS50" s="54">
        <f t="shared" si="47"/>
        <v>0</v>
      </c>
      <c r="AT50" s="54">
        <f t="shared" si="48"/>
        <v>0</v>
      </c>
      <c r="AU50" s="54">
        <f t="shared" si="49"/>
        <v>0</v>
      </c>
      <c r="AV50" s="30"/>
      <c r="AW50" s="30"/>
      <c r="AX50" s="30">
        <f t="shared" si="50"/>
        <v>0</v>
      </c>
      <c r="AY50" s="47" t="s">
        <v>15</v>
      </c>
    </row>
    <row r="51" spans="1:51" s="5" customFormat="1" x14ac:dyDescent="0.25">
      <c r="A51" s="22">
        <v>47</v>
      </c>
      <c r="B51" s="22"/>
      <c r="C51" s="40"/>
      <c r="D51" s="40"/>
      <c r="E51" s="40"/>
      <c r="F51" s="55"/>
      <c r="G51" s="31"/>
      <c r="H51" s="25"/>
      <c r="I51" s="26"/>
      <c r="J51" s="26"/>
      <c r="K51" s="54">
        <f t="shared" si="44"/>
        <v>0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4">
        <f t="shared" si="45"/>
        <v>0</v>
      </c>
      <c r="AR51" s="54">
        <f t="shared" si="46"/>
        <v>0</v>
      </c>
      <c r="AS51" s="54">
        <f t="shared" si="47"/>
        <v>0</v>
      </c>
      <c r="AT51" s="54">
        <f t="shared" si="48"/>
        <v>0</v>
      </c>
      <c r="AU51" s="54">
        <f t="shared" si="49"/>
        <v>0</v>
      </c>
      <c r="AV51" s="30"/>
      <c r="AW51" s="30"/>
      <c r="AX51" s="30">
        <f t="shared" si="50"/>
        <v>0</v>
      </c>
      <c r="AY51" s="47" t="s">
        <v>15</v>
      </c>
    </row>
    <row r="52" spans="1:51" s="5" customFormat="1" x14ac:dyDescent="0.25">
      <c r="A52" s="22">
        <v>48</v>
      </c>
      <c r="B52" s="22"/>
      <c r="C52" s="40"/>
      <c r="D52" s="40"/>
      <c r="E52" s="40"/>
      <c r="F52" s="55"/>
      <c r="G52" s="31"/>
      <c r="H52" s="25"/>
      <c r="I52" s="26"/>
      <c r="J52" s="26"/>
      <c r="K52" s="54">
        <f t="shared" si="44"/>
        <v>0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4">
        <f t="shared" si="45"/>
        <v>0</v>
      </c>
      <c r="AR52" s="54">
        <f t="shared" si="46"/>
        <v>0</v>
      </c>
      <c r="AS52" s="54">
        <f t="shared" si="47"/>
        <v>0</v>
      </c>
      <c r="AT52" s="54">
        <f t="shared" si="48"/>
        <v>0</v>
      </c>
      <c r="AU52" s="54">
        <f t="shared" si="49"/>
        <v>0</v>
      </c>
      <c r="AV52" s="30"/>
      <c r="AW52" s="30"/>
      <c r="AX52" s="30">
        <f t="shared" si="50"/>
        <v>0</v>
      </c>
      <c r="AY52" s="47" t="s">
        <v>15</v>
      </c>
    </row>
    <row r="53" spans="1:51" s="5" customFormat="1" x14ac:dyDescent="0.25">
      <c r="A53" s="22">
        <v>49</v>
      </c>
      <c r="B53" s="22"/>
      <c r="C53" s="40"/>
      <c r="D53" s="40"/>
      <c r="E53" s="40"/>
      <c r="F53" s="55"/>
      <c r="G53" s="31"/>
      <c r="H53" s="25"/>
      <c r="I53" s="26"/>
      <c r="J53" s="26"/>
      <c r="K53" s="54">
        <f t="shared" si="44"/>
        <v>0</v>
      </c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4">
        <f t="shared" si="45"/>
        <v>0</v>
      </c>
      <c r="AR53" s="54">
        <f t="shared" si="46"/>
        <v>0</v>
      </c>
      <c r="AS53" s="54">
        <f t="shared" si="47"/>
        <v>0</v>
      </c>
      <c r="AT53" s="54">
        <f t="shared" si="48"/>
        <v>0</v>
      </c>
      <c r="AU53" s="54">
        <f t="shared" si="49"/>
        <v>0</v>
      </c>
      <c r="AV53" s="30"/>
      <c r="AW53" s="30"/>
      <c r="AX53" s="30">
        <f t="shared" si="50"/>
        <v>0</v>
      </c>
      <c r="AY53" s="47" t="s">
        <v>15</v>
      </c>
    </row>
    <row r="54" spans="1:51" s="5" customFormat="1" x14ac:dyDescent="0.25">
      <c r="A54" s="22">
        <v>50</v>
      </c>
      <c r="B54" s="22"/>
      <c r="C54" s="40"/>
      <c r="D54" s="40"/>
      <c r="E54" s="40"/>
      <c r="F54" s="55"/>
      <c r="G54" s="31"/>
      <c r="H54" s="25"/>
      <c r="I54" s="26"/>
      <c r="J54" s="26"/>
      <c r="K54" s="54">
        <f t="shared" si="44"/>
        <v>0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4">
        <f t="shared" si="45"/>
        <v>0</v>
      </c>
      <c r="AR54" s="54">
        <f t="shared" si="46"/>
        <v>0</v>
      </c>
      <c r="AS54" s="54">
        <f t="shared" si="47"/>
        <v>0</v>
      </c>
      <c r="AT54" s="54">
        <f t="shared" si="48"/>
        <v>0</v>
      </c>
      <c r="AU54" s="54">
        <f t="shared" si="49"/>
        <v>0</v>
      </c>
      <c r="AV54" s="30"/>
      <c r="AW54" s="30"/>
      <c r="AX54" s="30">
        <f t="shared" si="50"/>
        <v>0</v>
      </c>
      <c r="AY54" s="47" t="s">
        <v>15</v>
      </c>
    </row>
    <row r="55" spans="1:51" s="5" customFormat="1" x14ac:dyDescent="0.25">
      <c r="A55" s="22">
        <v>51</v>
      </c>
      <c r="B55" s="22"/>
      <c r="C55" s="40"/>
      <c r="D55" s="40"/>
      <c r="E55" s="40"/>
      <c r="F55" s="55"/>
      <c r="G55" s="31"/>
      <c r="H55" s="25"/>
      <c r="I55" s="26"/>
      <c r="J55" s="26"/>
      <c r="K55" s="54">
        <f t="shared" si="44"/>
        <v>0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4">
        <f t="shared" si="45"/>
        <v>0</v>
      </c>
      <c r="AR55" s="54">
        <f t="shared" ref="AR55:AR76" si="64">K55-AQ55</f>
        <v>0</v>
      </c>
      <c r="AS55" s="54">
        <f t="shared" ref="AS55:AS76" si="65">AQ55*H55</f>
        <v>0</v>
      </c>
      <c r="AT55" s="54">
        <f t="shared" si="48"/>
        <v>0</v>
      </c>
      <c r="AU55" s="54">
        <f t="shared" si="49"/>
        <v>0</v>
      </c>
      <c r="AV55" s="30"/>
      <c r="AW55" s="30"/>
      <c r="AX55" s="30">
        <f t="shared" si="50"/>
        <v>0</v>
      </c>
      <c r="AY55" s="47" t="s">
        <v>15</v>
      </c>
    </row>
    <row r="56" spans="1:51" s="5" customFormat="1" x14ac:dyDescent="0.25">
      <c r="A56" s="22">
        <v>52</v>
      </c>
      <c r="B56" s="22"/>
      <c r="C56" s="40"/>
      <c r="D56" s="40"/>
      <c r="E56" s="40"/>
      <c r="F56" s="55"/>
      <c r="G56" s="31"/>
      <c r="H56" s="25"/>
      <c r="I56" s="26"/>
      <c r="J56" s="26"/>
      <c r="K56" s="54">
        <f t="shared" si="44"/>
        <v>0</v>
      </c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4">
        <f t="shared" si="45"/>
        <v>0</v>
      </c>
      <c r="AR56" s="54">
        <f t="shared" si="64"/>
        <v>0</v>
      </c>
      <c r="AS56" s="54">
        <f t="shared" si="65"/>
        <v>0</v>
      </c>
      <c r="AT56" s="54">
        <f t="shared" si="48"/>
        <v>0</v>
      </c>
      <c r="AU56" s="54">
        <f t="shared" si="49"/>
        <v>0</v>
      </c>
      <c r="AV56" s="30"/>
      <c r="AW56" s="30"/>
      <c r="AX56" s="30">
        <f t="shared" si="50"/>
        <v>0</v>
      </c>
      <c r="AY56" s="47" t="s">
        <v>15</v>
      </c>
    </row>
    <row r="57" spans="1:51" s="5" customFormat="1" x14ac:dyDescent="0.25">
      <c r="A57" s="22">
        <v>53</v>
      </c>
      <c r="B57" s="22"/>
      <c r="C57" s="40"/>
      <c r="D57" s="40"/>
      <c r="E57" s="40"/>
      <c r="F57" s="55"/>
      <c r="G57" s="31"/>
      <c r="H57" s="25"/>
      <c r="I57" s="26"/>
      <c r="J57" s="26"/>
      <c r="K57" s="54">
        <f t="shared" si="44"/>
        <v>0</v>
      </c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4">
        <f t="shared" si="45"/>
        <v>0</v>
      </c>
      <c r="AR57" s="54">
        <f t="shared" si="64"/>
        <v>0</v>
      </c>
      <c r="AS57" s="54">
        <f t="shared" si="65"/>
        <v>0</v>
      </c>
      <c r="AT57" s="54">
        <f t="shared" si="48"/>
        <v>0</v>
      </c>
      <c r="AU57" s="54">
        <f t="shared" si="49"/>
        <v>0</v>
      </c>
      <c r="AV57" s="30"/>
      <c r="AW57" s="30"/>
      <c r="AX57" s="30">
        <f t="shared" si="50"/>
        <v>0</v>
      </c>
      <c r="AY57" s="47" t="s">
        <v>15</v>
      </c>
    </row>
    <row r="58" spans="1:51" s="5" customFormat="1" x14ac:dyDescent="0.25">
      <c r="A58" s="22">
        <v>54</v>
      </c>
      <c r="B58" s="22"/>
      <c r="C58" s="40"/>
      <c r="D58" s="40"/>
      <c r="E58" s="40"/>
      <c r="F58" s="55"/>
      <c r="G58" s="31"/>
      <c r="H58" s="25"/>
      <c r="I58" s="26"/>
      <c r="J58" s="26"/>
      <c r="K58" s="54">
        <f t="shared" si="44"/>
        <v>0</v>
      </c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4">
        <f t="shared" si="45"/>
        <v>0</v>
      </c>
      <c r="AR58" s="54">
        <f t="shared" si="64"/>
        <v>0</v>
      </c>
      <c r="AS58" s="54">
        <f t="shared" si="65"/>
        <v>0</v>
      </c>
      <c r="AT58" s="54">
        <f t="shared" si="48"/>
        <v>0</v>
      </c>
      <c r="AU58" s="54">
        <f t="shared" si="49"/>
        <v>0</v>
      </c>
      <c r="AV58" s="30"/>
      <c r="AW58" s="30"/>
      <c r="AX58" s="30">
        <f t="shared" si="50"/>
        <v>0</v>
      </c>
      <c r="AY58" s="47" t="s">
        <v>15</v>
      </c>
    </row>
    <row r="59" spans="1:51" s="5" customFormat="1" x14ac:dyDescent="0.25">
      <c r="A59" s="22">
        <v>55</v>
      </c>
      <c r="B59" s="22"/>
      <c r="C59" s="40"/>
      <c r="D59" s="40"/>
      <c r="E59" s="40"/>
      <c r="F59" s="55"/>
      <c r="G59" s="31"/>
      <c r="H59" s="25"/>
      <c r="I59" s="26"/>
      <c r="J59" s="26"/>
      <c r="K59" s="54">
        <f t="shared" si="44"/>
        <v>0</v>
      </c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4">
        <f t="shared" si="45"/>
        <v>0</v>
      </c>
      <c r="AR59" s="54">
        <f t="shared" si="64"/>
        <v>0</v>
      </c>
      <c r="AS59" s="54">
        <f t="shared" si="65"/>
        <v>0</v>
      </c>
      <c r="AT59" s="54">
        <f t="shared" si="48"/>
        <v>0</v>
      </c>
      <c r="AU59" s="54">
        <f t="shared" si="49"/>
        <v>0</v>
      </c>
      <c r="AV59" s="30"/>
      <c r="AW59" s="30"/>
      <c r="AX59" s="30">
        <f t="shared" si="50"/>
        <v>0</v>
      </c>
      <c r="AY59" s="47" t="s">
        <v>15</v>
      </c>
    </row>
    <row r="60" spans="1:51" s="5" customFormat="1" x14ac:dyDescent="0.25">
      <c r="A60" s="22">
        <v>56</v>
      </c>
      <c r="B60" s="22"/>
      <c r="C60" s="40"/>
      <c r="D60" s="40"/>
      <c r="E60" s="40"/>
      <c r="F60" s="55"/>
      <c r="G60" s="31"/>
      <c r="H60" s="25"/>
      <c r="I60" s="26"/>
      <c r="J60" s="26"/>
      <c r="K60" s="54">
        <f t="shared" si="44"/>
        <v>0</v>
      </c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4">
        <f t="shared" si="45"/>
        <v>0</v>
      </c>
      <c r="AR60" s="54">
        <f t="shared" si="64"/>
        <v>0</v>
      </c>
      <c r="AS60" s="54">
        <f t="shared" si="65"/>
        <v>0</v>
      </c>
      <c r="AT60" s="54">
        <f t="shared" si="48"/>
        <v>0</v>
      </c>
      <c r="AU60" s="54">
        <f t="shared" si="49"/>
        <v>0</v>
      </c>
      <c r="AV60" s="30"/>
      <c r="AW60" s="30"/>
      <c r="AX60" s="30">
        <f t="shared" si="50"/>
        <v>0</v>
      </c>
      <c r="AY60" s="47" t="s">
        <v>15</v>
      </c>
    </row>
    <row r="61" spans="1:51" s="5" customFormat="1" x14ac:dyDescent="0.25">
      <c r="A61" s="22">
        <v>57</v>
      </c>
      <c r="B61" s="22"/>
      <c r="C61" s="40"/>
      <c r="D61" s="40"/>
      <c r="E61" s="40"/>
      <c r="F61" s="55"/>
      <c r="G61" s="31"/>
      <c r="H61" s="25"/>
      <c r="I61" s="26"/>
      <c r="J61" s="26"/>
      <c r="K61" s="54">
        <f t="shared" si="44"/>
        <v>0</v>
      </c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4">
        <f t="shared" si="45"/>
        <v>0</v>
      </c>
      <c r="AR61" s="54">
        <f t="shared" si="64"/>
        <v>0</v>
      </c>
      <c r="AS61" s="54">
        <f t="shared" si="65"/>
        <v>0</v>
      </c>
      <c r="AT61" s="54">
        <f t="shared" si="48"/>
        <v>0</v>
      </c>
      <c r="AU61" s="54">
        <f t="shared" si="49"/>
        <v>0</v>
      </c>
      <c r="AV61" s="30"/>
      <c r="AW61" s="30"/>
      <c r="AX61" s="30">
        <f t="shared" si="50"/>
        <v>0</v>
      </c>
      <c r="AY61" s="47" t="s">
        <v>15</v>
      </c>
    </row>
    <row r="62" spans="1:51" s="5" customFormat="1" x14ac:dyDescent="0.25">
      <c r="A62" s="22">
        <v>58</v>
      </c>
      <c r="B62" s="22"/>
      <c r="C62" s="40"/>
      <c r="D62" s="40"/>
      <c r="E62" s="40"/>
      <c r="F62" s="55"/>
      <c r="G62" s="31"/>
      <c r="H62" s="25"/>
      <c r="I62" s="26"/>
      <c r="J62" s="26"/>
      <c r="K62" s="54">
        <f t="shared" si="44"/>
        <v>0</v>
      </c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4">
        <f t="shared" si="45"/>
        <v>0</v>
      </c>
      <c r="AR62" s="54">
        <f t="shared" si="64"/>
        <v>0</v>
      </c>
      <c r="AS62" s="54">
        <f t="shared" si="65"/>
        <v>0</v>
      </c>
      <c r="AT62" s="54">
        <f t="shared" si="48"/>
        <v>0</v>
      </c>
      <c r="AU62" s="54">
        <f t="shared" si="49"/>
        <v>0</v>
      </c>
      <c r="AV62" s="30"/>
      <c r="AW62" s="30"/>
      <c r="AX62" s="30">
        <f t="shared" si="50"/>
        <v>0</v>
      </c>
      <c r="AY62" s="47" t="s">
        <v>15</v>
      </c>
    </row>
    <row r="63" spans="1:51" s="5" customFormat="1" x14ac:dyDescent="0.25">
      <c r="A63" s="22">
        <v>59</v>
      </c>
      <c r="B63" s="22"/>
      <c r="C63" s="40"/>
      <c r="D63" s="40"/>
      <c r="E63" s="40"/>
      <c r="F63" s="55"/>
      <c r="G63" s="31"/>
      <c r="H63" s="25"/>
      <c r="I63" s="26"/>
      <c r="J63" s="26"/>
      <c r="K63" s="54">
        <f t="shared" si="44"/>
        <v>0</v>
      </c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4">
        <f t="shared" si="45"/>
        <v>0</v>
      </c>
      <c r="AR63" s="54">
        <f t="shared" si="64"/>
        <v>0</v>
      </c>
      <c r="AS63" s="54">
        <f t="shared" si="65"/>
        <v>0</v>
      </c>
      <c r="AT63" s="54">
        <f t="shared" si="48"/>
        <v>0</v>
      </c>
      <c r="AU63" s="54">
        <f t="shared" si="49"/>
        <v>0</v>
      </c>
      <c r="AV63" s="30"/>
      <c r="AW63" s="30"/>
      <c r="AX63" s="30">
        <f t="shared" si="50"/>
        <v>0</v>
      </c>
      <c r="AY63" s="47" t="s">
        <v>15</v>
      </c>
    </row>
    <row r="64" spans="1:51" s="5" customFormat="1" x14ac:dyDescent="0.25">
      <c r="A64" s="22">
        <v>60</v>
      </c>
      <c r="B64" s="22"/>
      <c r="C64" s="40"/>
      <c r="D64" s="40"/>
      <c r="E64" s="40"/>
      <c r="F64" s="55"/>
      <c r="G64" s="70"/>
      <c r="H64" s="25"/>
      <c r="I64" s="26"/>
      <c r="J64" s="26"/>
      <c r="K64" s="54">
        <f t="shared" si="44"/>
        <v>0</v>
      </c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4">
        <f t="shared" si="45"/>
        <v>0</v>
      </c>
      <c r="AR64" s="54">
        <f t="shared" si="64"/>
        <v>0</v>
      </c>
      <c r="AS64" s="54">
        <f t="shared" si="65"/>
        <v>0</v>
      </c>
      <c r="AT64" s="54">
        <f t="shared" si="48"/>
        <v>0</v>
      </c>
      <c r="AU64" s="54">
        <f t="shared" si="49"/>
        <v>0</v>
      </c>
      <c r="AV64" s="30"/>
      <c r="AW64" s="30"/>
      <c r="AX64" s="30">
        <f t="shared" si="50"/>
        <v>0</v>
      </c>
      <c r="AY64" s="47" t="s">
        <v>15</v>
      </c>
    </row>
    <row r="65" spans="1:51" s="5" customFormat="1" x14ac:dyDescent="0.25">
      <c r="A65" s="22">
        <v>61</v>
      </c>
      <c r="B65" s="22"/>
      <c r="C65" s="40"/>
      <c r="D65" s="40"/>
      <c r="E65" s="40"/>
      <c r="F65" s="55"/>
      <c r="G65" s="31"/>
      <c r="H65" s="25"/>
      <c r="I65" s="26"/>
      <c r="J65" s="26"/>
      <c r="K65" s="54">
        <f t="shared" si="44"/>
        <v>0</v>
      </c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4">
        <f t="shared" si="45"/>
        <v>0</v>
      </c>
      <c r="AR65" s="54">
        <f t="shared" si="64"/>
        <v>0</v>
      </c>
      <c r="AS65" s="54">
        <f t="shared" si="65"/>
        <v>0</v>
      </c>
      <c r="AT65" s="54">
        <f t="shared" si="48"/>
        <v>0</v>
      </c>
      <c r="AU65" s="54">
        <f t="shared" si="49"/>
        <v>0</v>
      </c>
      <c r="AV65" s="30"/>
      <c r="AW65" s="30"/>
      <c r="AX65" s="30">
        <f t="shared" si="50"/>
        <v>0</v>
      </c>
      <c r="AY65" s="47" t="s">
        <v>15</v>
      </c>
    </row>
    <row r="66" spans="1:51" s="5" customFormat="1" x14ac:dyDescent="0.25">
      <c r="A66" s="22">
        <v>62</v>
      </c>
      <c r="B66" s="22"/>
      <c r="C66" s="40"/>
      <c r="D66" s="40"/>
      <c r="E66" s="40"/>
      <c r="F66" s="55"/>
      <c r="G66" s="31"/>
      <c r="H66" s="25"/>
      <c r="I66" s="26"/>
      <c r="J66" s="26"/>
      <c r="K66" s="54">
        <f t="shared" si="44"/>
        <v>0</v>
      </c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4">
        <f t="shared" si="45"/>
        <v>0</v>
      </c>
      <c r="AR66" s="54">
        <f t="shared" si="64"/>
        <v>0</v>
      </c>
      <c r="AS66" s="54">
        <f t="shared" si="65"/>
        <v>0</v>
      </c>
      <c r="AT66" s="54">
        <f t="shared" si="48"/>
        <v>0</v>
      </c>
      <c r="AU66" s="54">
        <f t="shared" si="49"/>
        <v>0</v>
      </c>
      <c r="AV66" s="30"/>
      <c r="AW66" s="30"/>
      <c r="AX66" s="30">
        <f t="shared" si="50"/>
        <v>0</v>
      </c>
      <c r="AY66" s="47" t="s">
        <v>15</v>
      </c>
    </row>
    <row r="67" spans="1:51" s="5" customFormat="1" x14ac:dyDescent="0.25">
      <c r="A67" s="22">
        <v>63</v>
      </c>
      <c r="B67" s="22"/>
      <c r="C67" s="40"/>
      <c r="D67" s="40"/>
      <c r="E67" s="40"/>
      <c r="F67" s="55"/>
      <c r="G67" s="31"/>
      <c r="H67" s="25"/>
      <c r="I67" s="26"/>
      <c r="J67" s="26"/>
      <c r="K67" s="54">
        <f t="shared" si="44"/>
        <v>0</v>
      </c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4">
        <f t="shared" si="45"/>
        <v>0</v>
      </c>
      <c r="AR67" s="54">
        <f t="shared" si="64"/>
        <v>0</v>
      </c>
      <c r="AS67" s="54">
        <f t="shared" si="65"/>
        <v>0</v>
      </c>
      <c r="AT67" s="54">
        <f t="shared" si="48"/>
        <v>0</v>
      </c>
      <c r="AU67" s="54">
        <f t="shared" si="49"/>
        <v>0</v>
      </c>
      <c r="AV67" s="30"/>
      <c r="AW67" s="30"/>
      <c r="AX67" s="30">
        <f t="shared" si="50"/>
        <v>0</v>
      </c>
      <c r="AY67" s="47" t="s">
        <v>15</v>
      </c>
    </row>
    <row r="68" spans="1:51" s="5" customFormat="1" x14ac:dyDescent="0.25">
      <c r="A68" s="22">
        <v>64</v>
      </c>
      <c r="B68" s="22"/>
      <c r="C68" s="40"/>
      <c r="D68" s="40"/>
      <c r="E68" s="40"/>
      <c r="F68" s="55"/>
      <c r="G68" s="31"/>
      <c r="H68" s="25"/>
      <c r="I68" s="26"/>
      <c r="J68" s="26"/>
      <c r="K68" s="54">
        <f t="shared" si="44"/>
        <v>0</v>
      </c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4">
        <f t="shared" si="45"/>
        <v>0</v>
      </c>
      <c r="AR68" s="54">
        <f t="shared" si="64"/>
        <v>0</v>
      </c>
      <c r="AS68" s="54">
        <f t="shared" si="65"/>
        <v>0</v>
      </c>
      <c r="AT68" s="54">
        <f t="shared" si="48"/>
        <v>0</v>
      </c>
      <c r="AU68" s="54">
        <f t="shared" si="49"/>
        <v>0</v>
      </c>
      <c r="AV68" s="30"/>
      <c r="AW68" s="30"/>
      <c r="AX68" s="30">
        <f t="shared" si="50"/>
        <v>0</v>
      </c>
      <c r="AY68" s="47" t="s">
        <v>15</v>
      </c>
    </row>
    <row r="69" spans="1:51" s="5" customFormat="1" x14ac:dyDescent="0.25">
      <c r="A69" s="22">
        <v>65</v>
      </c>
      <c r="B69" s="22"/>
      <c r="C69" s="40"/>
      <c r="D69" s="40"/>
      <c r="E69" s="40"/>
      <c r="F69" s="55"/>
      <c r="G69" s="31"/>
      <c r="H69" s="25"/>
      <c r="I69" s="26"/>
      <c r="J69" s="26"/>
      <c r="K69" s="54">
        <f t="shared" si="44"/>
        <v>0</v>
      </c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4">
        <f t="shared" si="45"/>
        <v>0</v>
      </c>
      <c r="AR69" s="54">
        <f t="shared" si="64"/>
        <v>0</v>
      </c>
      <c r="AS69" s="54">
        <f t="shared" si="65"/>
        <v>0</v>
      </c>
      <c r="AT69" s="54">
        <f t="shared" si="48"/>
        <v>0</v>
      </c>
      <c r="AU69" s="54">
        <f t="shared" si="49"/>
        <v>0</v>
      </c>
      <c r="AV69" s="30"/>
      <c r="AW69" s="30"/>
      <c r="AX69" s="30">
        <f t="shared" si="50"/>
        <v>0</v>
      </c>
      <c r="AY69" s="47" t="s">
        <v>15</v>
      </c>
    </row>
    <row r="70" spans="1:51" s="5" customFormat="1" x14ac:dyDescent="0.25">
      <c r="A70" s="22">
        <v>66</v>
      </c>
      <c r="B70" s="22"/>
      <c r="C70" s="40"/>
      <c r="D70" s="40"/>
      <c r="E70" s="40"/>
      <c r="F70" s="55"/>
      <c r="G70" s="31"/>
      <c r="H70" s="25"/>
      <c r="I70" s="26"/>
      <c r="J70" s="26"/>
      <c r="K70" s="54">
        <f t="shared" si="44"/>
        <v>0</v>
      </c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4">
        <f t="shared" si="45"/>
        <v>0</v>
      </c>
      <c r="AR70" s="54">
        <f t="shared" si="64"/>
        <v>0</v>
      </c>
      <c r="AS70" s="54">
        <f t="shared" si="65"/>
        <v>0</v>
      </c>
      <c r="AT70" s="54">
        <f t="shared" si="48"/>
        <v>0</v>
      </c>
      <c r="AU70" s="54">
        <f t="shared" si="49"/>
        <v>0</v>
      </c>
      <c r="AV70" s="30"/>
      <c r="AW70" s="30"/>
      <c r="AX70" s="30">
        <f t="shared" si="50"/>
        <v>0</v>
      </c>
      <c r="AY70" s="47" t="s">
        <v>15</v>
      </c>
    </row>
    <row r="71" spans="1:51" s="5" customFormat="1" x14ac:dyDescent="0.25">
      <c r="A71" s="22">
        <v>67</v>
      </c>
      <c r="B71" s="22"/>
      <c r="C71" s="40"/>
      <c r="D71" s="40"/>
      <c r="E71" s="40"/>
      <c r="F71" s="55"/>
      <c r="G71" s="31"/>
      <c r="H71" s="25"/>
      <c r="I71" s="26"/>
      <c r="J71" s="26"/>
      <c r="K71" s="54">
        <f t="shared" si="44"/>
        <v>0</v>
      </c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4">
        <f t="shared" ref="AQ71:AQ72" si="66">SUM(L71:AP71)</f>
        <v>0</v>
      </c>
      <c r="AR71" s="54">
        <f t="shared" ref="AR71:AR72" si="67">K71-AQ71</f>
        <v>0</v>
      </c>
      <c r="AS71" s="54">
        <f t="shared" ref="AS71:AS72" si="68">AQ71*H71</f>
        <v>0</v>
      </c>
      <c r="AT71" s="54">
        <f t="shared" ref="AT71:AT72" si="69">AR71*H71</f>
        <v>0</v>
      </c>
      <c r="AU71" s="54">
        <f t="shared" si="49"/>
        <v>0</v>
      </c>
      <c r="AV71" s="30"/>
      <c r="AW71" s="30"/>
      <c r="AX71" s="30">
        <f t="shared" si="50"/>
        <v>0</v>
      </c>
      <c r="AY71" s="47" t="s">
        <v>15</v>
      </c>
    </row>
    <row r="72" spans="1:51" s="5" customFormat="1" x14ac:dyDescent="0.25">
      <c r="A72" s="22">
        <v>68</v>
      </c>
      <c r="B72" s="22"/>
      <c r="C72" s="40"/>
      <c r="D72" s="40"/>
      <c r="E72" s="40"/>
      <c r="F72" s="55"/>
      <c r="G72" s="31"/>
      <c r="H72" s="25"/>
      <c r="I72" s="26"/>
      <c r="J72" s="26"/>
      <c r="K72" s="54">
        <f t="shared" si="44"/>
        <v>0</v>
      </c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4">
        <f t="shared" si="66"/>
        <v>0</v>
      </c>
      <c r="AR72" s="54">
        <f t="shared" si="67"/>
        <v>0</v>
      </c>
      <c r="AS72" s="54">
        <f t="shared" si="68"/>
        <v>0</v>
      </c>
      <c r="AT72" s="54">
        <f t="shared" si="69"/>
        <v>0</v>
      </c>
      <c r="AU72" s="54">
        <f t="shared" si="49"/>
        <v>0</v>
      </c>
      <c r="AV72" s="30"/>
      <c r="AW72" s="30"/>
      <c r="AX72" s="30">
        <f t="shared" si="50"/>
        <v>0</v>
      </c>
      <c r="AY72" s="47" t="s">
        <v>15</v>
      </c>
    </row>
    <row r="73" spans="1:51" s="5" customFormat="1" x14ac:dyDescent="0.25">
      <c r="A73" s="22">
        <v>69</v>
      </c>
      <c r="B73" s="22"/>
      <c r="C73" s="40"/>
      <c r="D73" s="40"/>
      <c r="E73" s="40"/>
      <c r="F73" s="55"/>
      <c r="G73" s="31"/>
      <c r="H73" s="25"/>
      <c r="I73" s="26"/>
      <c r="J73" s="26"/>
      <c r="K73" s="54">
        <f t="shared" si="44"/>
        <v>0</v>
      </c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4">
        <f t="shared" si="45"/>
        <v>0</v>
      </c>
      <c r="AR73" s="54">
        <f t="shared" si="64"/>
        <v>0</v>
      </c>
      <c r="AS73" s="54">
        <f t="shared" si="65"/>
        <v>0</v>
      </c>
      <c r="AT73" s="54">
        <f t="shared" si="48"/>
        <v>0</v>
      </c>
      <c r="AU73" s="54">
        <f t="shared" si="49"/>
        <v>0</v>
      </c>
      <c r="AV73" s="30"/>
      <c r="AW73" s="30"/>
      <c r="AX73" s="30">
        <f t="shared" si="50"/>
        <v>0</v>
      </c>
      <c r="AY73" s="47" t="s">
        <v>15</v>
      </c>
    </row>
    <row r="74" spans="1:51" s="5" customFormat="1" x14ac:dyDescent="0.25">
      <c r="A74" s="22">
        <v>70</v>
      </c>
      <c r="B74" s="22"/>
      <c r="C74" s="40"/>
      <c r="D74" s="40"/>
      <c r="E74" s="40"/>
      <c r="F74" s="55"/>
      <c r="G74" s="31"/>
      <c r="H74" s="25"/>
      <c r="I74" s="26"/>
      <c r="J74" s="26"/>
      <c r="K74" s="54">
        <f t="shared" si="44"/>
        <v>0</v>
      </c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4">
        <f t="shared" si="45"/>
        <v>0</v>
      </c>
      <c r="AR74" s="54">
        <f t="shared" si="64"/>
        <v>0</v>
      </c>
      <c r="AS74" s="54">
        <f t="shared" si="65"/>
        <v>0</v>
      </c>
      <c r="AT74" s="54">
        <f t="shared" si="48"/>
        <v>0</v>
      </c>
      <c r="AU74" s="54">
        <f t="shared" si="49"/>
        <v>0</v>
      </c>
      <c r="AV74" s="30"/>
      <c r="AW74" s="30"/>
      <c r="AX74" s="30">
        <f t="shared" si="50"/>
        <v>0</v>
      </c>
      <c r="AY74" s="47" t="s">
        <v>15</v>
      </c>
    </row>
    <row r="75" spans="1:51" s="5" customFormat="1" x14ac:dyDescent="0.25">
      <c r="A75" s="22">
        <v>71</v>
      </c>
      <c r="B75" s="22"/>
      <c r="C75" s="40"/>
      <c r="D75" s="40"/>
      <c r="E75" s="40"/>
      <c r="F75" s="55"/>
      <c r="G75" s="31"/>
      <c r="H75" s="25"/>
      <c r="I75" s="26"/>
      <c r="J75" s="26"/>
      <c r="K75" s="54">
        <f t="shared" si="44"/>
        <v>0</v>
      </c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4">
        <f t="shared" si="45"/>
        <v>0</v>
      </c>
      <c r="AR75" s="54">
        <f t="shared" si="64"/>
        <v>0</v>
      </c>
      <c r="AS75" s="54">
        <f t="shared" si="65"/>
        <v>0</v>
      </c>
      <c r="AT75" s="54">
        <f t="shared" si="48"/>
        <v>0</v>
      </c>
      <c r="AU75" s="54">
        <f t="shared" si="49"/>
        <v>0</v>
      </c>
      <c r="AV75" s="30"/>
      <c r="AW75" s="30"/>
      <c r="AX75" s="30">
        <f t="shared" si="50"/>
        <v>0</v>
      </c>
      <c r="AY75" s="47" t="s">
        <v>15</v>
      </c>
    </row>
    <row r="76" spans="1:51" s="5" customFormat="1" x14ac:dyDescent="0.25">
      <c r="A76" s="22">
        <v>72</v>
      </c>
      <c r="B76" s="22"/>
      <c r="C76" s="40"/>
      <c r="D76" s="40"/>
      <c r="E76" s="40"/>
      <c r="F76" s="55"/>
      <c r="G76" s="31"/>
      <c r="H76" s="25"/>
      <c r="I76" s="26"/>
      <c r="J76" s="26"/>
      <c r="K76" s="54">
        <f t="shared" si="44"/>
        <v>0</v>
      </c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4">
        <f t="shared" si="45"/>
        <v>0</v>
      </c>
      <c r="AR76" s="54">
        <f t="shared" si="64"/>
        <v>0</v>
      </c>
      <c r="AS76" s="54">
        <f t="shared" si="65"/>
        <v>0</v>
      </c>
      <c r="AT76" s="54">
        <f t="shared" si="48"/>
        <v>0</v>
      </c>
      <c r="AU76" s="54">
        <f t="shared" si="49"/>
        <v>0</v>
      </c>
      <c r="AV76" s="30"/>
      <c r="AW76" s="30"/>
      <c r="AX76" s="30">
        <f t="shared" si="50"/>
        <v>0</v>
      </c>
      <c r="AY76" s="47" t="s">
        <v>15</v>
      </c>
    </row>
    <row r="77" spans="1:51" s="5" customFormat="1" x14ac:dyDescent="0.25">
      <c r="A77" s="22">
        <v>73</v>
      </c>
      <c r="B77" s="22"/>
      <c r="C77" s="40"/>
      <c r="D77" s="40"/>
      <c r="E77" s="40"/>
      <c r="F77" s="55"/>
      <c r="G77" s="31"/>
      <c r="H77" s="25"/>
      <c r="I77" s="26"/>
      <c r="J77" s="26"/>
      <c r="K77" s="54">
        <f t="shared" si="44"/>
        <v>0</v>
      </c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4">
        <f t="shared" si="45"/>
        <v>0</v>
      </c>
      <c r="AR77" s="54">
        <f t="shared" si="46"/>
        <v>0</v>
      </c>
      <c r="AS77" s="54">
        <f t="shared" si="47"/>
        <v>0</v>
      </c>
      <c r="AT77" s="54">
        <f t="shared" si="48"/>
        <v>0</v>
      </c>
      <c r="AU77" s="54">
        <f t="shared" si="49"/>
        <v>0</v>
      </c>
      <c r="AV77" s="30"/>
      <c r="AW77" s="30"/>
      <c r="AX77" s="30">
        <f t="shared" si="50"/>
        <v>0</v>
      </c>
      <c r="AY77" s="47" t="s">
        <v>15</v>
      </c>
    </row>
    <row r="78" spans="1:51" s="5" customFormat="1" x14ac:dyDescent="0.25">
      <c r="A78" s="22">
        <v>74</v>
      </c>
      <c r="B78" s="22"/>
      <c r="C78" s="40"/>
      <c r="D78" s="40"/>
      <c r="E78" s="40"/>
      <c r="F78" s="55"/>
      <c r="G78" s="31"/>
      <c r="H78" s="25"/>
      <c r="I78" s="26"/>
      <c r="J78" s="26"/>
      <c r="K78" s="54">
        <f t="shared" si="44"/>
        <v>0</v>
      </c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4">
        <f t="shared" ref="AQ78:AQ80" si="70">SUM(L78:AP78)</f>
        <v>0</v>
      </c>
      <c r="AR78" s="54">
        <f t="shared" ref="AR78:AR80" si="71">K78-AQ78</f>
        <v>0</v>
      </c>
      <c r="AS78" s="54">
        <f t="shared" ref="AS78:AS80" si="72">AQ78*H78</f>
        <v>0</v>
      </c>
      <c r="AT78" s="54">
        <f t="shared" ref="AT78:AT80" si="73">AR78*H78</f>
        <v>0</v>
      </c>
      <c r="AU78" s="54">
        <f t="shared" ref="AU78:AU80" si="74">J78*H78</f>
        <v>0</v>
      </c>
      <c r="AV78" s="30"/>
      <c r="AW78" s="30"/>
      <c r="AX78" s="30">
        <f t="shared" ref="AX78:AX80" si="75">AU78*SUM(AV78:AW78)%+AU78</f>
        <v>0</v>
      </c>
      <c r="AY78" s="47" t="s">
        <v>15</v>
      </c>
    </row>
    <row r="79" spans="1:51" s="5" customFormat="1" x14ac:dyDescent="0.25">
      <c r="A79" s="22">
        <v>75</v>
      </c>
      <c r="B79" s="22"/>
      <c r="C79" s="40"/>
      <c r="D79" s="40"/>
      <c r="E79" s="40"/>
      <c r="F79" s="55"/>
      <c r="G79" s="31"/>
      <c r="H79" s="25"/>
      <c r="I79" s="26"/>
      <c r="J79" s="26"/>
      <c r="K79" s="54">
        <f t="shared" si="44"/>
        <v>0</v>
      </c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4">
        <f t="shared" si="70"/>
        <v>0</v>
      </c>
      <c r="AR79" s="54">
        <f t="shared" si="71"/>
        <v>0</v>
      </c>
      <c r="AS79" s="54">
        <f t="shared" si="72"/>
        <v>0</v>
      </c>
      <c r="AT79" s="54">
        <f t="shared" si="73"/>
        <v>0</v>
      </c>
      <c r="AU79" s="54">
        <f t="shared" si="74"/>
        <v>0</v>
      </c>
      <c r="AV79" s="30"/>
      <c r="AW79" s="30"/>
      <c r="AX79" s="30">
        <f t="shared" si="75"/>
        <v>0</v>
      </c>
      <c r="AY79" s="47" t="s">
        <v>15</v>
      </c>
    </row>
    <row r="80" spans="1:51" s="5" customFormat="1" x14ac:dyDescent="0.25">
      <c r="A80" s="22">
        <v>76</v>
      </c>
      <c r="B80" s="22"/>
      <c r="C80" s="40"/>
      <c r="D80" s="40"/>
      <c r="E80" s="40"/>
      <c r="F80" s="55"/>
      <c r="G80" s="31"/>
      <c r="H80" s="25"/>
      <c r="I80" s="26"/>
      <c r="J80" s="26"/>
      <c r="K80" s="54">
        <f t="shared" si="44"/>
        <v>0</v>
      </c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4">
        <f t="shared" si="70"/>
        <v>0</v>
      </c>
      <c r="AR80" s="54">
        <f t="shared" si="71"/>
        <v>0</v>
      </c>
      <c r="AS80" s="54">
        <f t="shared" si="72"/>
        <v>0</v>
      </c>
      <c r="AT80" s="54">
        <f t="shared" si="73"/>
        <v>0</v>
      </c>
      <c r="AU80" s="54">
        <f t="shared" si="74"/>
        <v>0</v>
      </c>
      <c r="AV80" s="30"/>
      <c r="AW80" s="30"/>
      <c r="AX80" s="30">
        <f t="shared" si="75"/>
        <v>0</v>
      </c>
      <c r="AY80" s="47" t="s">
        <v>15</v>
      </c>
    </row>
    <row r="81" spans="1:51" s="5" customFormat="1" x14ac:dyDescent="0.25">
      <c r="A81" s="22">
        <v>77</v>
      </c>
      <c r="B81" s="22"/>
      <c r="C81" s="40"/>
      <c r="D81" s="40"/>
      <c r="E81" s="40"/>
      <c r="F81" s="55"/>
      <c r="G81" s="31"/>
      <c r="H81" s="25"/>
      <c r="I81" s="26"/>
      <c r="J81" s="26"/>
      <c r="K81" s="54">
        <f t="shared" ref="K81" si="76">J81+I81</f>
        <v>0</v>
      </c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4">
        <f t="shared" ref="AQ81" si="77">SUM(L81:AP81)</f>
        <v>0</v>
      </c>
      <c r="AR81" s="54">
        <f t="shared" ref="AR81" si="78">K81-AQ81</f>
        <v>0</v>
      </c>
      <c r="AS81" s="54">
        <f t="shared" ref="AS81" si="79">AQ81*H81</f>
        <v>0</v>
      </c>
      <c r="AT81" s="54">
        <f t="shared" ref="AT81" si="80">AR81*H81</f>
        <v>0</v>
      </c>
      <c r="AU81" s="54">
        <f t="shared" ref="AU81" si="81">J81*H81</f>
        <v>0</v>
      </c>
      <c r="AV81" s="30"/>
      <c r="AW81" s="30"/>
      <c r="AX81" s="30">
        <f t="shared" ref="AX81" si="82">AU81*SUM(AV81:AW81)%+AU81</f>
        <v>0</v>
      </c>
      <c r="AY81" s="47" t="s">
        <v>15</v>
      </c>
    </row>
    <row r="82" spans="1:51" s="5" customFormat="1" x14ac:dyDescent="0.25">
      <c r="A82" s="22">
        <v>78</v>
      </c>
      <c r="B82" s="22"/>
      <c r="C82" s="40"/>
      <c r="D82" s="40"/>
      <c r="E82" s="40"/>
      <c r="F82" s="55"/>
      <c r="G82" s="31"/>
      <c r="H82" s="25"/>
      <c r="I82" s="26"/>
      <c r="J82" s="26"/>
      <c r="K82" s="54">
        <f t="shared" ref="K82:K153" si="83">J82+I82</f>
        <v>0</v>
      </c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4">
        <f t="shared" ref="AQ82:AQ153" si="84">SUM(L82:AP82)</f>
        <v>0</v>
      </c>
      <c r="AR82" s="54">
        <f t="shared" ref="AR82:AR153" si="85">K82-AQ82</f>
        <v>0</v>
      </c>
      <c r="AS82" s="54">
        <f t="shared" ref="AS82:AS153" si="86">AQ82*H82</f>
        <v>0</v>
      </c>
      <c r="AT82" s="54">
        <f t="shared" ref="AT82:AT153" si="87">AR82*H82</f>
        <v>0</v>
      </c>
      <c r="AU82" s="54">
        <f t="shared" ref="AU82:AU153" si="88">J82*H82</f>
        <v>0</v>
      </c>
      <c r="AV82" s="30"/>
      <c r="AW82" s="30"/>
      <c r="AX82" s="30">
        <f t="shared" ref="AX82:AX153" si="89">AU82*SUM(AV82:AW82)%+AU82</f>
        <v>0</v>
      </c>
      <c r="AY82" s="47" t="s">
        <v>15</v>
      </c>
    </row>
    <row r="83" spans="1:51" s="5" customFormat="1" x14ac:dyDescent="0.25">
      <c r="A83" s="22">
        <v>79</v>
      </c>
      <c r="B83" s="22"/>
      <c r="C83" s="40"/>
      <c r="D83" s="40"/>
      <c r="E83" s="40"/>
      <c r="F83" s="55"/>
      <c r="G83" s="31"/>
      <c r="H83" s="25"/>
      <c r="I83" s="26"/>
      <c r="J83" s="26"/>
      <c r="K83" s="54">
        <f t="shared" si="83"/>
        <v>0</v>
      </c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4">
        <f t="shared" si="84"/>
        <v>0</v>
      </c>
      <c r="AR83" s="54">
        <f t="shared" si="85"/>
        <v>0</v>
      </c>
      <c r="AS83" s="54">
        <f t="shared" si="86"/>
        <v>0</v>
      </c>
      <c r="AT83" s="54">
        <f t="shared" si="87"/>
        <v>0</v>
      </c>
      <c r="AU83" s="54">
        <f t="shared" si="88"/>
        <v>0</v>
      </c>
      <c r="AV83" s="30"/>
      <c r="AW83" s="30"/>
      <c r="AX83" s="30">
        <f t="shared" si="89"/>
        <v>0</v>
      </c>
      <c r="AY83" s="47" t="s">
        <v>15</v>
      </c>
    </row>
    <row r="84" spans="1:51" s="5" customFormat="1" x14ac:dyDescent="0.25">
      <c r="A84" s="22">
        <v>80</v>
      </c>
      <c r="B84" s="22"/>
      <c r="C84" s="40"/>
      <c r="D84" s="40"/>
      <c r="E84" s="40"/>
      <c r="F84" s="55"/>
      <c r="G84" s="31"/>
      <c r="H84" s="25"/>
      <c r="I84" s="26"/>
      <c r="J84" s="26"/>
      <c r="K84" s="54">
        <f t="shared" si="83"/>
        <v>0</v>
      </c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4">
        <f t="shared" si="84"/>
        <v>0</v>
      </c>
      <c r="AR84" s="54">
        <f t="shared" si="85"/>
        <v>0</v>
      </c>
      <c r="AS84" s="54">
        <f t="shared" si="86"/>
        <v>0</v>
      </c>
      <c r="AT84" s="54">
        <f t="shared" si="87"/>
        <v>0</v>
      </c>
      <c r="AU84" s="54">
        <f t="shared" si="88"/>
        <v>0</v>
      </c>
      <c r="AV84" s="30"/>
      <c r="AW84" s="30"/>
      <c r="AX84" s="30">
        <f t="shared" si="89"/>
        <v>0</v>
      </c>
      <c r="AY84" s="47" t="s">
        <v>15</v>
      </c>
    </row>
    <row r="85" spans="1:51" s="5" customFormat="1" x14ac:dyDescent="0.25">
      <c r="A85" s="22">
        <v>81</v>
      </c>
      <c r="B85" s="22"/>
      <c r="C85" s="40"/>
      <c r="D85" s="40"/>
      <c r="E85" s="40"/>
      <c r="F85" s="55"/>
      <c r="G85" s="31"/>
      <c r="H85" s="25"/>
      <c r="I85" s="26"/>
      <c r="J85" s="26"/>
      <c r="K85" s="54">
        <f t="shared" si="83"/>
        <v>0</v>
      </c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4">
        <f t="shared" si="84"/>
        <v>0</v>
      </c>
      <c r="AR85" s="54">
        <f t="shared" si="85"/>
        <v>0</v>
      </c>
      <c r="AS85" s="54">
        <f t="shared" si="86"/>
        <v>0</v>
      </c>
      <c r="AT85" s="54">
        <f t="shared" si="87"/>
        <v>0</v>
      </c>
      <c r="AU85" s="54">
        <f t="shared" si="88"/>
        <v>0</v>
      </c>
      <c r="AV85" s="30"/>
      <c r="AW85" s="30"/>
      <c r="AX85" s="30">
        <f t="shared" si="89"/>
        <v>0</v>
      </c>
      <c r="AY85" s="47" t="s">
        <v>15</v>
      </c>
    </row>
    <row r="86" spans="1:51" s="5" customFormat="1" x14ac:dyDescent="0.25">
      <c r="A86" s="22">
        <v>82</v>
      </c>
      <c r="B86" s="22"/>
      <c r="C86" s="40"/>
      <c r="D86" s="40"/>
      <c r="E86" s="40"/>
      <c r="F86" s="55"/>
      <c r="G86" s="31"/>
      <c r="H86" s="25"/>
      <c r="I86" s="26"/>
      <c r="J86" s="26"/>
      <c r="K86" s="54">
        <f t="shared" si="83"/>
        <v>0</v>
      </c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4">
        <f t="shared" si="84"/>
        <v>0</v>
      </c>
      <c r="AR86" s="54">
        <f t="shared" si="85"/>
        <v>0</v>
      </c>
      <c r="AS86" s="54">
        <f t="shared" si="86"/>
        <v>0</v>
      </c>
      <c r="AT86" s="54">
        <f t="shared" si="87"/>
        <v>0</v>
      </c>
      <c r="AU86" s="54">
        <f t="shared" si="88"/>
        <v>0</v>
      </c>
      <c r="AV86" s="30"/>
      <c r="AW86" s="30"/>
      <c r="AX86" s="30">
        <f t="shared" si="89"/>
        <v>0</v>
      </c>
      <c r="AY86" s="47" t="s">
        <v>15</v>
      </c>
    </row>
    <row r="87" spans="1:51" s="5" customFormat="1" x14ac:dyDescent="0.25">
      <c r="A87" s="22">
        <v>83</v>
      </c>
      <c r="B87" s="22"/>
      <c r="C87" s="40"/>
      <c r="D87" s="40"/>
      <c r="E87" s="40"/>
      <c r="F87" s="55"/>
      <c r="G87" s="31"/>
      <c r="H87" s="25"/>
      <c r="I87" s="26"/>
      <c r="J87" s="26"/>
      <c r="K87" s="54">
        <f>J87+I87</f>
        <v>0</v>
      </c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4">
        <f t="shared" si="84"/>
        <v>0</v>
      </c>
      <c r="AR87" s="54">
        <f t="shared" si="85"/>
        <v>0</v>
      </c>
      <c r="AS87" s="54">
        <f t="shared" si="86"/>
        <v>0</v>
      </c>
      <c r="AT87" s="54">
        <f t="shared" si="87"/>
        <v>0</v>
      </c>
      <c r="AU87" s="54">
        <f t="shared" si="88"/>
        <v>0</v>
      </c>
      <c r="AV87" s="30"/>
      <c r="AW87" s="30"/>
      <c r="AX87" s="30">
        <f t="shared" si="89"/>
        <v>0</v>
      </c>
      <c r="AY87" s="47" t="s">
        <v>15</v>
      </c>
    </row>
    <row r="88" spans="1:51" s="5" customFormat="1" x14ac:dyDescent="0.25">
      <c r="A88" s="22">
        <v>84</v>
      </c>
      <c r="B88" s="22"/>
      <c r="C88" s="40"/>
      <c r="D88" s="40"/>
      <c r="E88" s="40"/>
      <c r="F88" s="55"/>
      <c r="G88" s="31"/>
      <c r="H88" s="25"/>
      <c r="I88" s="26"/>
      <c r="J88" s="26"/>
      <c r="K88" s="54">
        <f t="shared" ref="K88:K91" si="90">J88+I88</f>
        <v>0</v>
      </c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4">
        <f t="shared" si="84"/>
        <v>0</v>
      </c>
      <c r="AR88" s="54">
        <f t="shared" si="85"/>
        <v>0</v>
      </c>
      <c r="AS88" s="54">
        <f t="shared" si="86"/>
        <v>0</v>
      </c>
      <c r="AT88" s="54">
        <f t="shared" si="87"/>
        <v>0</v>
      </c>
      <c r="AU88" s="54">
        <f t="shared" si="88"/>
        <v>0</v>
      </c>
      <c r="AV88" s="30"/>
      <c r="AW88" s="30"/>
      <c r="AX88" s="30">
        <f t="shared" si="89"/>
        <v>0</v>
      </c>
      <c r="AY88" s="47" t="s">
        <v>15</v>
      </c>
    </row>
    <row r="89" spans="1:51" s="5" customFormat="1" x14ac:dyDescent="0.25">
      <c r="A89" s="22">
        <v>85</v>
      </c>
      <c r="B89" s="22"/>
      <c r="C89" s="40"/>
      <c r="D89" s="40"/>
      <c r="E89" s="40"/>
      <c r="F89" s="55"/>
      <c r="G89" s="31"/>
      <c r="H89" s="25"/>
      <c r="I89" s="26"/>
      <c r="J89" s="26"/>
      <c r="K89" s="54">
        <f t="shared" si="90"/>
        <v>0</v>
      </c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4">
        <f t="shared" si="84"/>
        <v>0</v>
      </c>
      <c r="AR89" s="54">
        <f t="shared" si="85"/>
        <v>0</v>
      </c>
      <c r="AS89" s="54">
        <f t="shared" si="86"/>
        <v>0</v>
      </c>
      <c r="AT89" s="54">
        <f t="shared" si="87"/>
        <v>0</v>
      </c>
      <c r="AU89" s="54">
        <f t="shared" si="88"/>
        <v>0</v>
      </c>
      <c r="AV89" s="30"/>
      <c r="AW89" s="30"/>
      <c r="AX89" s="30">
        <f t="shared" si="89"/>
        <v>0</v>
      </c>
      <c r="AY89" s="47" t="s">
        <v>15</v>
      </c>
    </row>
    <row r="90" spans="1:51" s="5" customFormat="1" x14ac:dyDescent="0.25">
      <c r="A90" s="22">
        <v>86</v>
      </c>
      <c r="B90" s="22"/>
      <c r="C90" s="40"/>
      <c r="D90" s="40"/>
      <c r="E90" s="40"/>
      <c r="F90" s="55"/>
      <c r="G90" s="31"/>
      <c r="H90" s="25"/>
      <c r="I90" s="26"/>
      <c r="J90" s="26"/>
      <c r="K90" s="54">
        <f t="shared" si="90"/>
        <v>0</v>
      </c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4">
        <f t="shared" si="84"/>
        <v>0</v>
      </c>
      <c r="AR90" s="54">
        <f t="shared" si="85"/>
        <v>0</v>
      </c>
      <c r="AS90" s="54">
        <f t="shared" si="86"/>
        <v>0</v>
      </c>
      <c r="AT90" s="54">
        <f t="shared" si="87"/>
        <v>0</v>
      </c>
      <c r="AU90" s="54">
        <f t="shared" si="88"/>
        <v>0</v>
      </c>
      <c r="AV90" s="30"/>
      <c r="AW90" s="30"/>
      <c r="AX90" s="30">
        <f t="shared" si="89"/>
        <v>0</v>
      </c>
      <c r="AY90" s="47" t="s">
        <v>15</v>
      </c>
    </row>
    <row r="91" spans="1:51" s="5" customFormat="1" x14ac:dyDescent="0.25">
      <c r="A91" s="22">
        <v>87</v>
      </c>
      <c r="B91" s="22"/>
      <c r="C91" s="40"/>
      <c r="D91" s="40"/>
      <c r="E91" s="40"/>
      <c r="F91" s="55"/>
      <c r="G91" s="31"/>
      <c r="H91" s="25"/>
      <c r="I91" s="26"/>
      <c r="J91" s="26"/>
      <c r="K91" s="54">
        <f t="shared" si="90"/>
        <v>0</v>
      </c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4">
        <f t="shared" si="84"/>
        <v>0</v>
      </c>
      <c r="AR91" s="54">
        <f t="shared" si="85"/>
        <v>0</v>
      </c>
      <c r="AS91" s="54">
        <f t="shared" si="86"/>
        <v>0</v>
      </c>
      <c r="AT91" s="54">
        <f t="shared" si="87"/>
        <v>0</v>
      </c>
      <c r="AU91" s="54">
        <f t="shared" si="88"/>
        <v>0</v>
      </c>
      <c r="AV91" s="30"/>
      <c r="AW91" s="30"/>
      <c r="AX91" s="30">
        <f t="shared" si="89"/>
        <v>0</v>
      </c>
      <c r="AY91" s="47" t="s">
        <v>15</v>
      </c>
    </row>
    <row r="92" spans="1:51" s="5" customFormat="1" x14ac:dyDescent="0.25">
      <c r="A92" s="22">
        <v>88</v>
      </c>
      <c r="B92" s="22"/>
      <c r="C92" s="40"/>
      <c r="D92" s="40"/>
      <c r="E92" s="40"/>
      <c r="F92" s="55"/>
      <c r="G92" s="31"/>
      <c r="H92" s="25"/>
      <c r="I92" s="26"/>
      <c r="J92" s="26"/>
      <c r="K92" s="54">
        <f>J92+I92</f>
        <v>0</v>
      </c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4">
        <f t="shared" si="84"/>
        <v>0</v>
      </c>
      <c r="AR92" s="54">
        <f t="shared" si="85"/>
        <v>0</v>
      </c>
      <c r="AS92" s="54">
        <f t="shared" si="86"/>
        <v>0</v>
      </c>
      <c r="AT92" s="54">
        <f t="shared" si="87"/>
        <v>0</v>
      </c>
      <c r="AU92" s="54">
        <f t="shared" si="88"/>
        <v>0</v>
      </c>
      <c r="AV92" s="30"/>
      <c r="AW92" s="30"/>
      <c r="AX92" s="30">
        <f t="shared" si="89"/>
        <v>0</v>
      </c>
      <c r="AY92" s="47" t="s">
        <v>15</v>
      </c>
    </row>
    <row r="93" spans="1:51" s="5" customFormat="1" x14ac:dyDescent="0.25">
      <c r="A93" s="22">
        <v>89</v>
      </c>
      <c r="B93" s="22"/>
      <c r="C93" s="40"/>
      <c r="D93" s="40"/>
      <c r="E93" s="40"/>
      <c r="F93" s="55"/>
      <c r="G93" s="31"/>
      <c r="H93" s="25"/>
      <c r="I93" s="26"/>
      <c r="J93" s="26"/>
      <c r="K93" s="54">
        <f>J93+I93</f>
        <v>0</v>
      </c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4">
        <f t="shared" si="84"/>
        <v>0</v>
      </c>
      <c r="AR93" s="54">
        <f t="shared" si="85"/>
        <v>0</v>
      </c>
      <c r="AS93" s="54">
        <f t="shared" si="86"/>
        <v>0</v>
      </c>
      <c r="AT93" s="54">
        <f t="shared" si="87"/>
        <v>0</v>
      </c>
      <c r="AU93" s="54">
        <f t="shared" si="88"/>
        <v>0</v>
      </c>
      <c r="AV93" s="30"/>
      <c r="AW93" s="30"/>
      <c r="AX93" s="30">
        <f t="shared" si="89"/>
        <v>0</v>
      </c>
      <c r="AY93" s="47" t="s">
        <v>15</v>
      </c>
    </row>
    <row r="94" spans="1:51" s="5" customFormat="1" x14ac:dyDescent="0.25">
      <c r="A94" s="22">
        <v>90</v>
      </c>
      <c r="B94" s="22"/>
      <c r="C94" s="40"/>
      <c r="D94" s="40"/>
      <c r="E94" s="40"/>
      <c r="F94" s="55"/>
      <c r="G94" s="31"/>
      <c r="H94" s="25"/>
      <c r="I94" s="26"/>
      <c r="J94" s="26"/>
      <c r="K94" s="54">
        <f t="shared" ref="K94:K147" si="91">J94+I94</f>
        <v>0</v>
      </c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4">
        <f t="shared" si="84"/>
        <v>0</v>
      </c>
      <c r="AR94" s="54">
        <f t="shared" si="85"/>
        <v>0</v>
      </c>
      <c r="AS94" s="54">
        <f t="shared" si="86"/>
        <v>0</v>
      </c>
      <c r="AT94" s="54">
        <f t="shared" si="87"/>
        <v>0</v>
      </c>
      <c r="AU94" s="54">
        <f t="shared" si="88"/>
        <v>0</v>
      </c>
      <c r="AV94" s="30"/>
      <c r="AW94" s="30"/>
      <c r="AX94" s="30">
        <f t="shared" si="89"/>
        <v>0</v>
      </c>
      <c r="AY94" s="47" t="s">
        <v>15</v>
      </c>
    </row>
    <row r="95" spans="1:51" s="5" customFormat="1" x14ac:dyDescent="0.25">
      <c r="A95" s="22">
        <v>91</v>
      </c>
      <c r="B95" s="22"/>
      <c r="C95" s="40"/>
      <c r="D95" s="40"/>
      <c r="E95" s="40"/>
      <c r="F95" s="55"/>
      <c r="G95" s="31"/>
      <c r="H95" s="25"/>
      <c r="I95" s="26"/>
      <c r="J95" s="26"/>
      <c r="K95" s="54">
        <f t="shared" si="91"/>
        <v>0</v>
      </c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4">
        <f t="shared" si="84"/>
        <v>0</v>
      </c>
      <c r="AR95" s="54">
        <f t="shared" si="85"/>
        <v>0</v>
      </c>
      <c r="AS95" s="54">
        <f t="shared" si="86"/>
        <v>0</v>
      </c>
      <c r="AT95" s="54">
        <f t="shared" si="87"/>
        <v>0</v>
      </c>
      <c r="AU95" s="54">
        <f t="shared" si="88"/>
        <v>0</v>
      </c>
      <c r="AV95" s="30"/>
      <c r="AW95" s="30"/>
      <c r="AX95" s="30">
        <f t="shared" si="89"/>
        <v>0</v>
      </c>
      <c r="AY95" s="47" t="s">
        <v>15</v>
      </c>
    </row>
    <row r="96" spans="1:51" s="5" customFormat="1" x14ac:dyDescent="0.25">
      <c r="A96" s="22">
        <v>92</v>
      </c>
      <c r="B96" s="22"/>
      <c r="C96" s="40"/>
      <c r="D96" s="40"/>
      <c r="E96" s="40"/>
      <c r="F96" s="55"/>
      <c r="G96" s="31"/>
      <c r="H96" s="25"/>
      <c r="I96" s="26"/>
      <c r="J96" s="26"/>
      <c r="K96" s="54">
        <f t="shared" si="91"/>
        <v>0</v>
      </c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4">
        <f t="shared" si="84"/>
        <v>0</v>
      </c>
      <c r="AR96" s="54">
        <f t="shared" si="85"/>
        <v>0</v>
      </c>
      <c r="AS96" s="54">
        <f t="shared" si="86"/>
        <v>0</v>
      </c>
      <c r="AT96" s="54">
        <f t="shared" si="87"/>
        <v>0</v>
      </c>
      <c r="AU96" s="54">
        <f t="shared" si="88"/>
        <v>0</v>
      </c>
      <c r="AV96" s="30"/>
      <c r="AW96" s="30"/>
      <c r="AX96" s="30">
        <f t="shared" si="89"/>
        <v>0</v>
      </c>
      <c r="AY96" s="47" t="s">
        <v>15</v>
      </c>
    </row>
    <row r="97" spans="1:51" s="5" customFormat="1" x14ac:dyDescent="0.25">
      <c r="A97" s="22">
        <v>93</v>
      </c>
      <c r="B97" s="22"/>
      <c r="C97" s="40"/>
      <c r="D97" s="40"/>
      <c r="E97" s="40"/>
      <c r="F97" s="55"/>
      <c r="G97" s="31"/>
      <c r="H97" s="25"/>
      <c r="I97" s="26"/>
      <c r="J97" s="26"/>
      <c r="K97" s="54">
        <f t="shared" si="91"/>
        <v>0</v>
      </c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4">
        <f t="shared" si="84"/>
        <v>0</v>
      </c>
      <c r="AR97" s="54">
        <f t="shared" si="85"/>
        <v>0</v>
      </c>
      <c r="AS97" s="54">
        <f t="shared" si="86"/>
        <v>0</v>
      </c>
      <c r="AT97" s="54">
        <f t="shared" si="87"/>
        <v>0</v>
      </c>
      <c r="AU97" s="54">
        <f t="shared" si="88"/>
        <v>0</v>
      </c>
      <c r="AV97" s="30"/>
      <c r="AW97" s="30"/>
      <c r="AX97" s="30">
        <f t="shared" si="89"/>
        <v>0</v>
      </c>
      <c r="AY97" s="47" t="s">
        <v>15</v>
      </c>
    </row>
    <row r="98" spans="1:51" s="5" customFormat="1" x14ac:dyDescent="0.25">
      <c r="A98" s="22">
        <v>94</v>
      </c>
      <c r="B98" s="22"/>
      <c r="C98" s="40"/>
      <c r="D98" s="40"/>
      <c r="E98" s="40"/>
      <c r="F98" s="55"/>
      <c r="G98" s="31"/>
      <c r="H98" s="25"/>
      <c r="I98" s="26"/>
      <c r="J98" s="26"/>
      <c r="K98" s="54">
        <f t="shared" si="91"/>
        <v>0</v>
      </c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4">
        <f t="shared" si="84"/>
        <v>0</v>
      </c>
      <c r="AR98" s="54">
        <f t="shared" si="85"/>
        <v>0</v>
      </c>
      <c r="AS98" s="54">
        <f t="shared" si="86"/>
        <v>0</v>
      </c>
      <c r="AT98" s="54">
        <f t="shared" si="87"/>
        <v>0</v>
      </c>
      <c r="AU98" s="54">
        <f t="shared" si="88"/>
        <v>0</v>
      </c>
      <c r="AV98" s="30"/>
      <c r="AW98" s="30"/>
      <c r="AX98" s="30">
        <f t="shared" si="89"/>
        <v>0</v>
      </c>
      <c r="AY98" s="47" t="s">
        <v>15</v>
      </c>
    </row>
    <row r="99" spans="1:51" s="5" customFormat="1" x14ac:dyDescent="0.25">
      <c r="A99" s="22">
        <v>95</v>
      </c>
      <c r="B99" s="22"/>
      <c r="C99" s="40"/>
      <c r="D99" s="40"/>
      <c r="E99" s="40"/>
      <c r="F99" s="55"/>
      <c r="G99" s="31"/>
      <c r="H99" s="25"/>
      <c r="I99" s="26"/>
      <c r="J99" s="26"/>
      <c r="K99" s="54">
        <f t="shared" si="91"/>
        <v>0</v>
      </c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4">
        <f t="shared" si="84"/>
        <v>0</v>
      </c>
      <c r="AR99" s="54">
        <f t="shared" si="85"/>
        <v>0</v>
      </c>
      <c r="AS99" s="54">
        <f t="shared" si="86"/>
        <v>0</v>
      </c>
      <c r="AT99" s="54">
        <f t="shared" si="87"/>
        <v>0</v>
      </c>
      <c r="AU99" s="54">
        <f t="shared" si="88"/>
        <v>0</v>
      </c>
      <c r="AV99" s="30"/>
      <c r="AW99" s="30"/>
      <c r="AX99" s="30">
        <f t="shared" si="89"/>
        <v>0</v>
      </c>
      <c r="AY99" s="47" t="s">
        <v>15</v>
      </c>
    </row>
    <row r="100" spans="1:51" s="5" customFormat="1" x14ac:dyDescent="0.25">
      <c r="A100" s="22">
        <v>96</v>
      </c>
      <c r="B100" s="22"/>
      <c r="C100" s="40"/>
      <c r="D100" s="40"/>
      <c r="E100" s="40"/>
      <c r="F100" s="55"/>
      <c r="G100" s="31"/>
      <c r="H100" s="25"/>
      <c r="I100" s="26"/>
      <c r="J100" s="26"/>
      <c r="K100" s="54">
        <f t="shared" si="91"/>
        <v>0</v>
      </c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4">
        <f t="shared" ref="AQ100:AQ152" si="92">SUM(L100:AP100)</f>
        <v>0</v>
      </c>
      <c r="AR100" s="54">
        <f t="shared" ref="AR100:AR152" si="93">K100-AQ100</f>
        <v>0</v>
      </c>
      <c r="AS100" s="54">
        <f t="shared" ref="AS100:AS152" si="94">AQ100*H100</f>
        <v>0</v>
      </c>
      <c r="AT100" s="54">
        <f t="shared" ref="AT100:AT152" si="95">AR100*H100</f>
        <v>0</v>
      </c>
      <c r="AU100" s="54">
        <f t="shared" ref="AU100:AU152" si="96">J100*H100</f>
        <v>0</v>
      </c>
      <c r="AV100" s="30"/>
      <c r="AW100" s="30"/>
      <c r="AX100" s="30">
        <f t="shared" ref="AX100:AX152" si="97">AU100*SUM(AV100:AW100)%+AU100</f>
        <v>0</v>
      </c>
      <c r="AY100" s="47" t="s">
        <v>15</v>
      </c>
    </row>
    <row r="101" spans="1:51" s="5" customFormat="1" x14ac:dyDescent="0.25">
      <c r="A101" s="22">
        <v>97</v>
      </c>
      <c r="B101" s="22"/>
      <c r="C101" s="40"/>
      <c r="D101" s="40"/>
      <c r="E101" s="40"/>
      <c r="F101" s="55"/>
      <c r="G101" s="31"/>
      <c r="H101" s="25"/>
      <c r="I101" s="26"/>
      <c r="J101" s="26"/>
      <c r="K101" s="54">
        <f t="shared" si="91"/>
        <v>0</v>
      </c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4">
        <f t="shared" si="92"/>
        <v>0</v>
      </c>
      <c r="AR101" s="54">
        <f t="shared" si="93"/>
        <v>0</v>
      </c>
      <c r="AS101" s="54">
        <f t="shared" si="94"/>
        <v>0</v>
      </c>
      <c r="AT101" s="54">
        <f t="shared" si="95"/>
        <v>0</v>
      </c>
      <c r="AU101" s="54">
        <f t="shared" si="96"/>
        <v>0</v>
      </c>
      <c r="AV101" s="30"/>
      <c r="AW101" s="30"/>
      <c r="AX101" s="30">
        <f t="shared" si="97"/>
        <v>0</v>
      </c>
      <c r="AY101" s="47" t="s">
        <v>15</v>
      </c>
    </row>
    <row r="102" spans="1:51" s="5" customFormat="1" x14ac:dyDescent="0.25">
      <c r="A102" s="22">
        <v>98</v>
      </c>
      <c r="B102" s="22"/>
      <c r="C102" s="40"/>
      <c r="D102" s="40"/>
      <c r="E102" s="40"/>
      <c r="F102" s="55"/>
      <c r="G102" s="31"/>
      <c r="H102" s="25"/>
      <c r="I102" s="26"/>
      <c r="J102" s="26"/>
      <c r="K102" s="54">
        <f t="shared" si="91"/>
        <v>0</v>
      </c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4">
        <f t="shared" si="92"/>
        <v>0</v>
      </c>
      <c r="AR102" s="54">
        <f t="shared" si="93"/>
        <v>0</v>
      </c>
      <c r="AS102" s="54">
        <f t="shared" si="94"/>
        <v>0</v>
      </c>
      <c r="AT102" s="54">
        <f t="shared" si="95"/>
        <v>0</v>
      </c>
      <c r="AU102" s="54">
        <f t="shared" si="96"/>
        <v>0</v>
      </c>
      <c r="AV102" s="30"/>
      <c r="AW102" s="30"/>
      <c r="AX102" s="30">
        <f t="shared" si="97"/>
        <v>0</v>
      </c>
      <c r="AY102" s="47" t="s">
        <v>15</v>
      </c>
    </row>
    <row r="103" spans="1:51" s="5" customFormat="1" x14ac:dyDescent="0.25">
      <c r="A103" s="22">
        <v>99</v>
      </c>
      <c r="B103" s="22"/>
      <c r="C103" s="40"/>
      <c r="D103" s="40"/>
      <c r="E103" s="40"/>
      <c r="F103" s="55"/>
      <c r="G103" s="31"/>
      <c r="H103" s="25"/>
      <c r="I103" s="26"/>
      <c r="J103" s="26"/>
      <c r="K103" s="54">
        <f t="shared" si="91"/>
        <v>0</v>
      </c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4">
        <f t="shared" si="92"/>
        <v>0</v>
      </c>
      <c r="AR103" s="54">
        <f t="shared" si="93"/>
        <v>0</v>
      </c>
      <c r="AS103" s="54">
        <f t="shared" si="94"/>
        <v>0</v>
      </c>
      <c r="AT103" s="54">
        <f t="shared" si="95"/>
        <v>0</v>
      </c>
      <c r="AU103" s="54">
        <f t="shared" si="96"/>
        <v>0</v>
      </c>
      <c r="AV103" s="30"/>
      <c r="AW103" s="30"/>
      <c r="AX103" s="30">
        <f t="shared" si="97"/>
        <v>0</v>
      </c>
      <c r="AY103" s="47" t="s">
        <v>15</v>
      </c>
    </row>
    <row r="104" spans="1:51" s="5" customFormat="1" x14ac:dyDescent="0.25">
      <c r="A104" s="22">
        <v>100</v>
      </c>
      <c r="B104" s="22"/>
      <c r="C104" s="40"/>
      <c r="D104" s="40"/>
      <c r="E104" s="40"/>
      <c r="F104" s="55"/>
      <c r="G104" s="31"/>
      <c r="H104" s="25"/>
      <c r="I104" s="26"/>
      <c r="J104" s="26"/>
      <c r="K104" s="54">
        <f t="shared" si="91"/>
        <v>0</v>
      </c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4">
        <f t="shared" si="92"/>
        <v>0</v>
      </c>
      <c r="AR104" s="54">
        <f t="shared" si="93"/>
        <v>0</v>
      </c>
      <c r="AS104" s="54">
        <f t="shared" si="94"/>
        <v>0</v>
      </c>
      <c r="AT104" s="54">
        <f t="shared" si="95"/>
        <v>0</v>
      </c>
      <c r="AU104" s="54">
        <f t="shared" si="96"/>
        <v>0</v>
      </c>
      <c r="AV104" s="30"/>
      <c r="AW104" s="30"/>
      <c r="AX104" s="30">
        <f t="shared" si="97"/>
        <v>0</v>
      </c>
      <c r="AY104" s="47" t="s">
        <v>15</v>
      </c>
    </row>
    <row r="105" spans="1:51" s="5" customFormat="1" x14ac:dyDescent="0.25">
      <c r="A105" s="22">
        <v>101</v>
      </c>
      <c r="B105" s="22"/>
      <c r="C105" s="40"/>
      <c r="D105" s="40"/>
      <c r="E105" s="40"/>
      <c r="F105" s="55"/>
      <c r="G105" s="31"/>
      <c r="H105" s="25"/>
      <c r="I105" s="26"/>
      <c r="J105" s="26"/>
      <c r="K105" s="54">
        <f t="shared" si="91"/>
        <v>0</v>
      </c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4">
        <f t="shared" si="92"/>
        <v>0</v>
      </c>
      <c r="AR105" s="54">
        <f t="shared" si="93"/>
        <v>0</v>
      </c>
      <c r="AS105" s="54">
        <f t="shared" si="94"/>
        <v>0</v>
      </c>
      <c r="AT105" s="54">
        <f t="shared" si="95"/>
        <v>0</v>
      </c>
      <c r="AU105" s="54">
        <f t="shared" si="96"/>
        <v>0</v>
      </c>
      <c r="AV105" s="30"/>
      <c r="AW105" s="30"/>
      <c r="AX105" s="30">
        <f t="shared" si="97"/>
        <v>0</v>
      </c>
      <c r="AY105" s="47" t="s">
        <v>15</v>
      </c>
    </row>
    <row r="106" spans="1:51" s="5" customFormat="1" x14ac:dyDescent="0.25">
      <c r="A106" s="22">
        <v>102</v>
      </c>
      <c r="B106" s="22"/>
      <c r="C106" s="40"/>
      <c r="D106" s="40"/>
      <c r="E106" s="40"/>
      <c r="F106" s="55"/>
      <c r="G106" s="31"/>
      <c r="H106" s="25"/>
      <c r="I106" s="26"/>
      <c r="J106" s="26"/>
      <c r="K106" s="54">
        <f t="shared" si="91"/>
        <v>0</v>
      </c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4">
        <f t="shared" si="92"/>
        <v>0</v>
      </c>
      <c r="AR106" s="54">
        <f t="shared" si="93"/>
        <v>0</v>
      </c>
      <c r="AS106" s="54">
        <f t="shared" si="94"/>
        <v>0</v>
      </c>
      <c r="AT106" s="54">
        <f t="shared" si="95"/>
        <v>0</v>
      </c>
      <c r="AU106" s="54">
        <f t="shared" si="96"/>
        <v>0</v>
      </c>
      <c r="AV106" s="30"/>
      <c r="AW106" s="30"/>
      <c r="AX106" s="30">
        <f t="shared" si="97"/>
        <v>0</v>
      </c>
      <c r="AY106" s="47" t="s">
        <v>15</v>
      </c>
    </row>
    <row r="107" spans="1:51" s="5" customFormat="1" x14ac:dyDescent="0.25">
      <c r="A107" s="22">
        <v>103</v>
      </c>
      <c r="B107" s="22"/>
      <c r="C107" s="40"/>
      <c r="D107" s="40"/>
      <c r="E107" s="40"/>
      <c r="F107" s="55"/>
      <c r="G107" s="31"/>
      <c r="H107" s="25"/>
      <c r="I107" s="26"/>
      <c r="J107" s="26"/>
      <c r="K107" s="54">
        <f t="shared" si="91"/>
        <v>0</v>
      </c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4">
        <f t="shared" si="92"/>
        <v>0</v>
      </c>
      <c r="AR107" s="54">
        <f t="shared" si="93"/>
        <v>0</v>
      </c>
      <c r="AS107" s="54">
        <f t="shared" si="94"/>
        <v>0</v>
      </c>
      <c r="AT107" s="54">
        <f t="shared" si="95"/>
        <v>0</v>
      </c>
      <c r="AU107" s="54">
        <f t="shared" si="96"/>
        <v>0</v>
      </c>
      <c r="AV107" s="30"/>
      <c r="AW107" s="30"/>
      <c r="AX107" s="30">
        <f t="shared" si="97"/>
        <v>0</v>
      </c>
      <c r="AY107" s="47" t="s">
        <v>15</v>
      </c>
    </row>
    <row r="108" spans="1:51" s="5" customFormat="1" x14ac:dyDescent="0.25">
      <c r="A108" s="22">
        <v>104</v>
      </c>
      <c r="B108" s="22"/>
      <c r="C108" s="40"/>
      <c r="D108" s="40"/>
      <c r="E108" s="40"/>
      <c r="F108" s="55"/>
      <c r="G108" s="31"/>
      <c r="H108" s="25"/>
      <c r="I108" s="26"/>
      <c r="J108" s="26"/>
      <c r="K108" s="54">
        <f t="shared" si="91"/>
        <v>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4">
        <f t="shared" si="92"/>
        <v>0</v>
      </c>
      <c r="AR108" s="54">
        <f t="shared" si="93"/>
        <v>0</v>
      </c>
      <c r="AS108" s="54">
        <f t="shared" si="94"/>
        <v>0</v>
      </c>
      <c r="AT108" s="54">
        <f t="shared" si="95"/>
        <v>0</v>
      </c>
      <c r="AU108" s="54">
        <f t="shared" si="96"/>
        <v>0</v>
      </c>
      <c r="AV108" s="30"/>
      <c r="AW108" s="30"/>
      <c r="AX108" s="30">
        <f t="shared" si="97"/>
        <v>0</v>
      </c>
      <c r="AY108" s="47" t="s">
        <v>15</v>
      </c>
    </row>
    <row r="109" spans="1:51" s="5" customFormat="1" x14ac:dyDescent="0.25">
      <c r="A109" s="22">
        <v>105</v>
      </c>
      <c r="B109" s="22"/>
      <c r="C109" s="40"/>
      <c r="D109" s="40"/>
      <c r="E109" s="40"/>
      <c r="F109" s="55"/>
      <c r="G109" s="31"/>
      <c r="H109" s="25"/>
      <c r="I109" s="26"/>
      <c r="J109" s="26"/>
      <c r="K109" s="54">
        <f t="shared" si="91"/>
        <v>0</v>
      </c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4">
        <f t="shared" si="92"/>
        <v>0</v>
      </c>
      <c r="AR109" s="54">
        <f t="shared" si="93"/>
        <v>0</v>
      </c>
      <c r="AS109" s="54">
        <f t="shared" si="94"/>
        <v>0</v>
      </c>
      <c r="AT109" s="54">
        <f t="shared" si="95"/>
        <v>0</v>
      </c>
      <c r="AU109" s="54">
        <f t="shared" si="96"/>
        <v>0</v>
      </c>
      <c r="AV109" s="30"/>
      <c r="AW109" s="30"/>
      <c r="AX109" s="30">
        <f t="shared" si="97"/>
        <v>0</v>
      </c>
      <c r="AY109" s="47" t="s">
        <v>15</v>
      </c>
    </row>
    <row r="110" spans="1:51" s="5" customFormat="1" x14ac:dyDescent="0.25">
      <c r="A110" s="22">
        <v>106</v>
      </c>
      <c r="B110" s="22"/>
      <c r="C110" s="40"/>
      <c r="D110" s="40"/>
      <c r="E110" s="40"/>
      <c r="F110" s="55"/>
      <c r="G110" s="31"/>
      <c r="H110" s="25"/>
      <c r="I110" s="26"/>
      <c r="J110" s="26"/>
      <c r="K110" s="54">
        <f t="shared" si="91"/>
        <v>0</v>
      </c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4">
        <f t="shared" si="92"/>
        <v>0</v>
      </c>
      <c r="AR110" s="54">
        <f t="shared" si="93"/>
        <v>0</v>
      </c>
      <c r="AS110" s="54">
        <f t="shared" si="94"/>
        <v>0</v>
      </c>
      <c r="AT110" s="54">
        <f t="shared" si="95"/>
        <v>0</v>
      </c>
      <c r="AU110" s="54">
        <f t="shared" si="96"/>
        <v>0</v>
      </c>
      <c r="AV110" s="30"/>
      <c r="AW110" s="30"/>
      <c r="AX110" s="30">
        <f t="shared" si="97"/>
        <v>0</v>
      </c>
      <c r="AY110" s="47" t="s">
        <v>15</v>
      </c>
    </row>
    <row r="111" spans="1:51" s="5" customFormat="1" x14ac:dyDescent="0.25">
      <c r="A111" s="22">
        <v>107</v>
      </c>
      <c r="B111" s="22"/>
      <c r="C111" s="40"/>
      <c r="D111" s="40"/>
      <c r="E111" s="40"/>
      <c r="F111" s="55"/>
      <c r="G111" s="31"/>
      <c r="H111" s="25"/>
      <c r="I111" s="26"/>
      <c r="J111" s="26"/>
      <c r="K111" s="54">
        <f t="shared" si="91"/>
        <v>0</v>
      </c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4">
        <f t="shared" si="92"/>
        <v>0</v>
      </c>
      <c r="AR111" s="54">
        <f t="shared" si="93"/>
        <v>0</v>
      </c>
      <c r="AS111" s="54">
        <f t="shared" si="94"/>
        <v>0</v>
      </c>
      <c r="AT111" s="54">
        <f t="shared" si="95"/>
        <v>0</v>
      </c>
      <c r="AU111" s="54">
        <f t="shared" si="96"/>
        <v>0</v>
      </c>
      <c r="AV111" s="30"/>
      <c r="AW111" s="30"/>
      <c r="AX111" s="30">
        <f t="shared" si="97"/>
        <v>0</v>
      </c>
      <c r="AY111" s="47" t="s">
        <v>15</v>
      </c>
    </row>
    <row r="112" spans="1:51" s="5" customFormat="1" x14ac:dyDescent="0.25">
      <c r="A112" s="22">
        <v>108</v>
      </c>
      <c r="B112" s="22"/>
      <c r="C112" s="40"/>
      <c r="D112" s="40"/>
      <c r="E112" s="40"/>
      <c r="F112" s="55"/>
      <c r="G112" s="31"/>
      <c r="H112" s="25"/>
      <c r="I112" s="26"/>
      <c r="J112" s="26"/>
      <c r="K112" s="54">
        <f t="shared" si="91"/>
        <v>0</v>
      </c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4">
        <f t="shared" si="92"/>
        <v>0</v>
      </c>
      <c r="AR112" s="54">
        <f t="shared" si="93"/>
        <v>0</v>
      </c>
      <c r="AS112" s="54">
        <f t="shared" si="94"/>
        <v>0</v>
      </c>
      <c r="AT112" s="54">
        <f t="shared" si="95"/>
        <v>0</v>
      </c>
      <c r="AU112" s="54">
        <f t="shared" si="96"/>
        <v>0</v>
      </c>
      <c r="AV112" s="30"/>
      <c r="AW112" s="30"/>
      <c r="AX112" s="30">
        <f t="shared" si="97"/>
        <v>0</v>
      </c>
      <c r="AY112" s="47" t="s">
        <v>15</v>
      </c>
    </row>
    <row r="113" spans="1:51" s="5" customFormat="1" x14ac:dyDescent="0.25">
      <c r="A113" s="22">
        <v>109</v>
      </c>
      <c r="B113" s="22"/>
      <c r="C113" s="40"/>
      <c r="D113" s="40"/>
      <c r="E113" s="40"/>
      <c r="F113" s="55"/>
      <c r="G113" s="31"/>
      <c r="H113" s="25"/>
      <c r="I113" s="26"/>
      <c r="J113" s="26"/>
      <c r="K113" s="54">
        <f t="shared" si="91"/>
        <v>0</v>
      </c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4">
        <f t="shared" si="92"/>
        <v>0</v>
      </c>
      <c r="AR113" s="54">
        <f t="shared" si="93"/>
        <v>0</v>
      </c>
      <c r="AS113" s="54">
        <f t="shared" si="94"/>
        <v>0</v>
      </c>
      <c r="AT113" s="54">
        <f t="shared" si="95"/>
        <v>0</v>
      </c>
      <c r="AU113" s="54">
        <f t="shared" si="96"/>
        <v>0</v>
      </c>
      <c r="AV113" s="30"/>
      <c r="AW113" s="30"/>
      <c r="AX113" s="30">
        <f t="shared" si="97"/>
        <v>0</v>
      </c>
      <c r="AY113" s="47" t="s">
        <v>15</v>
      </c>
    </row>
    <row r="114" spans="1:51" s="5" customFormat="1" x14ac:dyDescent="0.25">
      <c r="A114" s="22">
        <v>110</v>
      </c>
      <c r="B114" s="22"/>
      <c r="C114" s="40"/>
      <c r="D114" s="40"/>
      <c r="E114" s="40"/>
      <c r="F114" s="55"/>
      <c r="G114" s="31"/>
      <c r="H114" s="25"/>
      <c r="I114" s="26"/>
      <c r="J114" s="26"/>
      <c r="K114" s="54">
        <f t="shared" si="91"/>
        <v>0</v>
      </c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4">
        <f t="shared" si="92"/>
        <v>0</v>
      </c>
      <c r="AR114" s="54">
        <f t="shared" si="93"/>
        <v>0</v>
      </c>
      <c r="AS114" s="54">
        <f t="shared" si="94"/>
        <v>0</v>
      </c>
      <c r="AT114" s="54">
        <f t="shared" si="95"/>
        <v>0</v>
      </c>
      <c r="AU114" s="54">
        <f t="shared" si="96"/>
        <v>0</v>
      </c>
      <c r="AV114" s="30"/>
      <c r="AW114" s="30"/>
      <c r="AX114" s="30">
        <f t="shared" si="97"/>
        <v>0</v>
      </c>
      <c r="AY114" s="47" t="s">
        <v>15</v>
      </c>
    </row>
    <row r="115" spans="1:51" s="5" customFormat="1" x14ac:dyDescent="0.25">
      <c r="A115" s="22">
        <v>111</v>
      </c>
      <c r="B115" s="22"/>
      <c r="C115" s="40"/>
      <c r="D115" s="40"/>
      <c r="E115" s="40"/>
      <c r="F115" s="55"/>
      <c r="G115" s="31"/>
      <c r="H115" s="25"/>
      <c r="I115" s="26"/>
      <c r="J115" s="26"/>
      <c r="K115" s="54">
        <f t="shared" si="91"/>
        <v>0</v>
      </c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4">
        <f t="shared" si="92"/>
        <v>0</v>
      </c>
      <c r="AR115" s="54">
        <f t="shared" si="93"/>
        <v>0</v>
      </c>
      <c r="AS115" s="54">
        <f t="shared" si="94"/>
        <v>0</v>
      </c>
      <c r="AT115" s="54">
        <f t="shared" si="95"/>
        <v>0</v>
      </c>
      <c r="AU115" s="54">
        <f t="shared" si="96"/>
        <v>0</v>
      </c>
      <c r="AV115" s="30"/>
      <c r="AW115" s="30"/>
      <c r="AX115" s="30">
        <f t="shared" si="97"/>
        <v>0</v>
      </c>
      <c r="AY115" s="47" t="s">
        <v>15</v>
      </c>
    </row>
    <row r="116" spans="1:51" s="5" customFormat="1" x14ac:dyDescent="0.25">
      <c r="A116" s="22">
        <v>112</v>
      </c>
      <c r="B116" s="22"/>
      <c r="C116" s="40"/>
      <c r="D116" s="40"/>
      <c r="E116" s="40"/>
      <c r="F116" s="55"/>
      <c r="G116" s="31"/>
      <c r="H116" s="25"/>
      <c r="I116" s="26"/>
      <c r="J116" s="26"/>
      <c r="K116" s="54">
        <f t="shared" si="91"/>
        <v>0</v>
      </c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4">
        <f t="shared" si="92"/>
        <v>0</v>
      </c>
      <c r="AR116" s="54">
        <f t="shared" si="93"/>
        <v>0</v>
      </c>
      <c r="AS116" s="54">
        <f t="shared" si="94"/>
        <v>0</v>
      </c>
      <c r="AT116" s="54">
        <f t="shared" si="95"/>
        <v>0</v>
      </c>
      <c r="AU116" s="54">
        <f t="shared" si="96"/>
        <v>0</v>
      </c>
      <c r="AV116" s="30"/>
      <c r="AW116" s="30"/>
      <c r="AX116" s="30">
        <f t="shared" si="97"/>
        <v>0</v>
      </c>
      <c r="AY116" s="47" t="s">
        <v>15</v>
      </c>
    </row>
    <row r="117" spans="1:51" s="5" customFormat="1" x14ac:dyDescent="0.25">
      <c r="A117" s="22">
        <v>113</v>
      </c>
      <c r="B117" s="22"/>
      <c r="C117" s="40"/>
      <c r="D117" s="40"/>
      <c r="E117" s="40"/>
      <c r="F117" s="55"/>
      <c r="G117" s="31"/>
      <c r="H117" s="25"/>
      <c r="I117" s="26"/>
      <c r="J117" s="26"/>
      <c r="K117" s="54">
        <f t="shared" si="91"/>
        <v>0</v>
      </c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4">
        <f t="shared" si="92"/>
        <v>0</v>
      </c>
      <c r="AR117" s="54">
        <f t="shared" si="93"/>
        <v>0</v>
      </c>
      <c r="AS117" s="54">
        <f t="shared" si="94"/>
        <v>0</v>
      </c>
      <c r="AT117" s="54">
        <f t="shared" si="95"/>
        <v>0</v>
      </c>
      <c r="AU117" s="54">
        <f t="shared" si="96"/>
        <v>0</v>
      </c>
      <c r="AV117" s="30"/>
      <c r="AW117" s="30"/>
      <c r="AX117" s="30">
        <f t="shared" si="97"/>
        <v>0</v>
      </c>
      <c r="AY117" s="47" t="s">
        <v>15</v>
      </c>
    </row>
    <row r="118" spans="1:51" s="5" customFormat="1" x14ac:dyDescent="0.25">
      <c r="A118" s="22">
        <v>114</v>
      </c>
      <c r="B118" s="22"/>
      <c r="C118" s="40"/>
      <c r="D118" s="40"/>
      <c r="E118" s="40"/>
      <c r="F118" s="55"/>
      <c r="G118" s="31"/>
      <c r="H118" s="25"/>
      <c r="I118" s="26"/>
      <c r="J118" s="26"/>
      <c r="K118" s="54">
        <f t="shared" si="91"/>
        <v>0</v>
      </c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4">
        <f t="shared" si="92"/>
        <v>0</v>
      </c>
      <c r="AR118" s="54">
        <f t="shared" si="93"/>
        <v>0</v>
      </c>
      <c r="AS118" s="54">
        <f t="shared" si="94"/>
        <v>0</v>
      </c>
      <c r="AT118" s="54">
        <f t="shared" si="95"/>
        <v>0</v>
      </c>
      <c r="AU118" s="54">
        <f t="shared" si="96"/>
        <v>0</v>
      </c>
      <c r="AV118" s="30"/>
      <c r="AW118" s="30"/>
      <c r="AX118" s="30">
        <f t="shared" si="97"/>
        <v>0</v>
      </c>
      <c r="AY118" s="47" t="s">
        <v>15</v>
      </c>
    </row>
    <row r="119" spans="1:51" s="5" customFormat="1" x14ac:dyDescent="0.25">
      <c r="A119" s="22">
        <v>115</v>
      </c>
      <c r="B119" s="22"/>
      <c r="C119" s="40"/>
      <c r="D119" s="40"/>
      <c r="E119" s="40"/>
      <c r="F119" s="55"/>
      <c r="G119" s="31"/>
      <c r="H119" s="25"/>
      <c r="I119" s="26"/>
      <c r="J119" s="26"/>
      <c r="K119" s="54">
        <f t="shared" si="91"/>
        <v>0</v>
      </c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4">
        <f t="shared" si="92"/>
        <v>0</v>
      </c>
      <c r="AR119" s="54">
        <f t="shared" si="93"/>
        <v>0</v>
      </c>
      <c r="AS119" s="54">
        <f t="shared" si="94"/>
        <v>0</v>
      </c>
      <c r="AT119" s="54">
        <f t="shared" si="95"/>
        <v>0</v>
      </c>
      <c r="AU119" s="54">
        <f t="shared" si="96"/>
        <v>0</v>
      </c>
      <c r="AV119" s="30"/>
      <c r="AW119" s="30"/>
      <c r="AX119" s="30">
        <f t="shared" si="97"/>
        <v>0</v>
      </c>
      <c r="AY119" s="47" t="s">
        <v>15</v>
      </c>
    </row>
    <row r="120" spans="1:51" s="5" customFormat="1" x14ac:dyDescent="0.25">
      <c r="A120" s="22">
        <v>116</v>
      </c>
      <c r="B120" s="22"/>
      <c r="C120" s="40"/>
      <c r="D120" s="40"/>
      <c r="E120" s="40"/>
      <c r="F120" s="55"/>
      <c r="G120" s="31"/>
      <c r="H120" s="25"/>
      <c r="I120" s="26"/>
      <c r="J120" s="26"/>
      <c r="K120" s="54">
        <f t="shared" si="91"/>
        <v>0</v>
      </c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4">
        <f t="shared" si="92"/>
        <v>0</v>
      </c>
      <c r="AR120" s="54">
        <f t="shared" si="93"/>
        <v>0</v>
      </c>
      <c r="AS120" s="54">
        <f t="shared" si="94"/>
        <v>0</v>
      </c>
      <c r="AT120" s="54">
        <f t="shared" si="95"/>
        <v>0</v>
      </c>
      <c r="AU120" s="54">
        <f t="shared" si="96"/>
        <v>0</v>
      </c>
      <c r="AV120" s="30"/>
      <c r="AW120" s="30"/>
      <c r="AX120" s="30">
        <f t="shared" si="97"/>
        <v>0</v>
      </c>
      <c r="AY120" s="47" t="s">
        <v>15</v>
      </c>
    </row>
    <row r="121" spans="1:51" s="5" customFormat="1" x14ac:dyDescent="0.25">
      <c r="A121" s="22">
        <v>117</v>
      </c>
      <c r="B121" s="22"/>
      <c r="C121" s="40"/>
      <c r="D121" s="40"/>
      <c r="E121" s="40"/>
      <c r="F121" s="55"/>
      <c r="G121" s="31"/>
      <c r="H121" s="25"/>
      <c r="I121" s="26"/>
      <c r="J121" s="26"/>
      <c r="K121" s="54">
        <f t="shared" si="91"/>
        <v>0</v>
      </c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4">
        <f t="shared" si="92"/>
        <v>0</v>
      </c>
      <c r="AR121" s="54">
        <f t="shared" si="93"/>
        <v>0</v>
      </c>
      <c r="AS121" s="54">
        <f t="shared" si="94"/>
        <v>0</v>
      </c>
      <c r="AT121" s="54">
        <f t="shared" si="95"/>
        <v>0</v>
      </c>
      <c r="AU121" s="54">
        <f t="shared" si="96"/>
        <v>0</v>
      </c>
      <c r="AV121" s="30"/>
      <c r="AW121" s="30"/>
      <c r="AX121" s="30">
        <f t="shared" si="97"/>
        <v>0</v>
      </c>
      <c r="AY121" s="47" t="s">
        <v>15</v>
      </c>
    </row>
    <row r="122" spans="1:51" s="5" customFormat="1" x14ac:dyDescent="0.25">
      <c r="A122" s="22">
        <v>118</v>
      </c>
      <c r="B122" s="22"/>
      <c r="C122" s="40"/>
      <c r="D122" s="40"/>
      <c r="E122" s="40"/>
      <c r="F122" s="55"/>
      <c r="G122" s="31"/>
      <c r="H122" s="25"/>
      <c r="I122" s="26"/>
      <c r="J122" s="26"/>
      <c r="K122" s="54">
        <f t="shared" si="91"/>
        <v>0</v>
      </c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4">
        <f t="shared" si="92"/>
        <v>0</v>
      </c>
      <c r="AR122" s="54">
        <f t="shared" si="93"/>
        <v>0</v>
      </c>
      <c r="AS122" s="54">
        <f t="shared" si="94"/>
        <v>0</v>
      </c>
      <c r="AT122" s="54">
        <f t="shared" si="95"/>
        <v>0</v>
      </c>
      <c r="AU122" s="54">
        <f t="shared" si="96"/>
        <v>0</v>
      </c>
      <c r="AV122" s="30"/>
      <c r="AW122" s="30"/>
      <c r="AX122" s="30">
        <f t="shared" si="97"/>
        <v>0</v>
      </c>
      <c r="AY122" s="47" t="s">
        <v>15</v>
      </c>
    </row>
    <row r="123" spans="1:51" s="5" customFormat="1" x14ac:dyDescent="0.25">
      <c r="A123" s="22">
        <v>119</v>
      </c>
      <c r="B123" s="22"/>
      <c r="C123" s="40"/>
      <c r="D123" s="40"/>
      <c r="E123" s="40"/>
      <c r="F123" s="55"/>
      <c r="G123" s="31"/>
      <c r="H123" s="25"/>
      <c r="I123" s="26"/>
      <c r="J123" s="26"/>
      <c r="K123" s="54">
        <f t="shared" si="91"/>
        <v>0</v>
      </c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4">
        <f t="shared" si="92"/>
        <v>0</v>
      </c>
      <c r="AR123" s="54">
        <f t="shared" si="93"/>
        <v>0</v>
      </c>
      <c r="AS123" s="54">
        <f t="shared" si="94"/>
        <v>0</v>
      </c>
      <c r="AT123" s="54">
        <f t="shared" si="95"/>
        <v>0</v>
      </c>
      <c r="AU123" s="54">
        <f t="shared" si="96"/>
        <v>0</v>
      </c>
      <c r="AV123" s="30"/>
      <c r="AW123" s="30"/>
      <c r="AX123" s="30">
        <f t="shared" si="97"/>
        <v>0</v>
      </c>
      <c r="AY123" s="47" t="s">
        <v>15</v>
      </c>
    </row>
    <row r="124" spans="1:51" s="5" customFormat="1" x14ac:dyDescent="0.25">
      <c r="A124" s="22">
        <v>120</v>
      </c>
      <c r="B124" s="22"/>
      <c r="C124" s="40"/>
      <c r="D124" s="40"/>
      <c r="E124" s="40"/>
      <c r="F124" s="55"/>
      <c r="G124" s="31"/>
      <c r="H124" s="25"/>
      <c r="I124" s="26"/>
      <c r="J124" s="26"/>
      <c r="K124" s="54">
        <f t="shared" si="91"/>
        <v>0</v>
      </c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4">
        <f t="shared" si="92"/>
        <v>0</v>
      </c>
      <c r="AR124" s="54">
        <f t="shared" si="93"/>
        <v>0</v>
      </c>
      <c r="AS124" s="54">
        <f t="shared" si="94"/>
        <v>0</v>
      </c>
      <c r="AT124" s="54">
        <f t="shared" si="95"/>
        <v>0</v>
      </c>
      <c r="AU124" s="54">
        <f t="shared" si="96"/>
        <v>0</v>
      </c>
      <c r="AV124" s="30"/>
      <c r="AW124" s="30"/>
      <c r="AX124" s="30">
        <f t="shared" si="97"/>
        <v>0</v>
      </c>
      <c r="AY124" s="47" t="s">
        <v>15</v>
      </c>
    </row>
    <row r="125" spans="1:51" s="5" customFormat="1" x14ac:dyDescent="0.25">
      <c r="A125" s="22">
        <v>121</v>
      </c>
      <c r="B125" s="22"/>
      <c r="C125" s="40"/>
      <c r="D125" s="40"/>
      <c r="E125" s="40"/>
      <c r="F125" s="55"/>
      <c r="G125" s="31"/>
      <c r="H125" s="25"/>
      <c r="I125" s="26"/>
      <c r="J125" s="26"/>
      <c r="K125" s="54">
        <f t="shared" si="91"/>
        <v>0</v>
      </c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4">
        <f t="shared" si="92"/>
        <v>0</v>
      </c>
      <c r="AR125" s="54">
        <f t="shared" si="93"/>
        <v>0</v>
      </c>
      <c r="AS125" s="54">
        <f t="shared" si="94"/>
        <v>0</v>
      </c>
      <c r="AT125" s="54">
        <f t="shared" si="95"/>
        <v>0</v>
      </c>
      <c r="AU125" s="54">
        <f t="shared" si="96"/>
        <v>0</v>
      </c>
      <c r="AV125" s="30"/>
      <c r="AW125" s="30"/>
      <c r="AX125" s="30">
        <f t="shared" si="97"/>
        <v>0</v>
      </c>
      <c r="AY125" s="47" t="s">
        <v>15</v>
      </c>
    </row>
    <row r="126" spans="1:51" s="5" customFormat="1" x14ac:dyDescent="0.25">
      <c r="A126" s="22">
        <v>122</v>
      </c>
      <c r="B126" s="22"/>
      <c r="C126" s="40"/>
      <c r="D126" s="40"/>
      <c r="E126" s="40"/>
      <c r="F126" s="55"/>
      <c r="G126" s="31"/>
      <c r="H126" s="25"/>
      <c r="I126" s="26"/>
      <c r="J126" s="26"/>
      <c r="K126" s="54">
        <f t="shared" si="91"/>
        <v>0</v>
      </c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4">
        <f t="shared" si="92"/>
        <v>0</v>
      </c>
      <c r="AR126" s="54">
        <f t="shared" si="93"/>
        <v>0</v>
      </c>
      <c r="AS126" s="54">
        <f t="shared" si="94"/>
        <v>0</v>
      </c>
      <c r="AT126" s="54">
        <f t="shared" si="95"/>
        <v>0</v>
      </c>
      <c r="AU126" s="54">
        <f t="shared" si="96"/>
        <v>0</v>
      </c>
      <c r="AV126" s="30"/>
      <c r="AW126" s="30"/>
      <c r="AX126" s="30">
        <f t="shared" si="97"/>
        <v>0</v>
      </c>
      <c r="AY126" s="47" t="s">
        <v>15</v>
      </c>
    </row>
    <row r="127" spans="1:51" s="5" customFormat="1" x14ac:dyDescent="0.25">
      <c r="A127" s="22">
        <v>123</v>
      </c>
      <c r="B127" s="22"/>
      <c r="C127" s="40"/>
      <c r="D127" s="40"/>
      <c r="E127" s="40"/>
      <c r="F127" s="55"/>
      <c r="G127" s="31"/>
      <c r="H127" s="25"/>
      <c r="I127" s="26"/>
      <c r="J127" s="26"/>
      <c r="K127" s="54">
        <f t="shared" si="91"/>
        <v>0</v>
      </c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4">
        <f t="shared" si="92"/>
        <v>0</v>
      </c>
      <c r="AR127" s="54">
        <f t="shared" si="93"/>
        <v>0</v>
      </c>
      <c r="AS127" s="54">
        <f t="shared" si="94"/>
        <v>0</v>
      </c>
      <c r="AT127" s="54">
        <f t="shared" si="95"/>
        <v>0</v>
      </c>
      <c r="AU127" s="54">
        <f t="shared" si="96"/>
        <v>0</v>
      </c>
      <c r="AV127" s="30"/>
      <c r="AW127" s="30"/>
      <c r="AX127" s="30">
        <f t="shared" si="97"/>
        <v>0</v>
      </c>
      <c r="AY127" s="47" t="s">
        <v>15</v>
      </c>
    </row>
    <row r="128" spans="1:51" s="5" customFormat="1" x14ac:dyDescent="0.25">
      <c r="A128" s="22">
        <v>124</v>
      </c>
      <c r="B128" s="22"/>
      <c r="C128" s="40"/>
      <c r="D128" s="40"/>
      <c r="E128" s="40"/>
      <c r="F128" s="55"/>
      <c r="G128" s="31"/>
      <c r="H128" s="25"/>
      <c r="I128" s="26"/>
      <c r="J128" s="26"/>
      <c r="K128" s="54">
        <f t="shared" si="91"/>
        <v>0</v>
      </c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4">
        <f t="shared" si="92"/>
        <v>0</v>
      </c>
      <c r="AR128" s="54">
        <f t="shared" si="93"/>
        <v>0</v>
      </c>
      <c r="AS128" s="54">
        <f t="shared" si="94"/>
        <v>0</v>
      </c>
      <c r="AT128" s="54">
        <f t="shared" si="95"/>
        <v>0</v>
      </c>
      <c r="AU128" s="54">
        <f t="shared" si="96"/>
        <v>0</v>
      </c>
      <c r="AV128" s="30"/>
      <c r="AW128" s="30"/>
      <c r="AX128" s="30">
        <f t="shared" si="97"/>
        <v>0</v>
      </c>
      <c r="AY128" s="47" t="s">
        <v>15</v>
      </c>
    </row>
    <row r="129" spans="1:51" s="5" customFormat="1" x14ac:dyDescent="0.25">
      <c r="A129" s="22">
        <v>125</v>
      </c>
      <c r="B129" s="22"/>
      <c r="C129" s="40"/>
      <c r="D129" s="40"/>
      <c r="E129" s="40"/>
      <c r="F129" s="55"/>
      <c r="G129" s="31"/>
      <c r="H129" s="25"/>
      <c r="I129" s="26"/>
      <c r="J129" s="26"/>
      <c r="K129" s="54">
        <f t="shared" si="91"/>
        <v>0</v>
      </c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4">
        <f t="shared" si="92"/>
        <v>0</v>
      </c>
      <c r="AR129" s="54">
        <f t="shared" si="93"/>
        <v>0</v>
      </c>
      <c r="AS129" s="54">
        <f t="shared" si="94"/>
        <v>0</v>
      </c>
      <c r="AT129" s="54">
        <f t="shared" si="95"/>
        <v>0</v>
      </c>
      <c r="AU129" s="54">
        <f t="shared" si="96"/>
        <v>0</v>
      </c>
      <c r="AV129" s="30"/>
      <c r="AW129" s="30"/>
      <c r="AX129" s="30">
        <f t="shared" si="97"/>
        <v>0</v>
      </c>
      <c r="AY129" s="47" t="s">
        <v>15</v>
      </c>
    </row>
    <row r="130" spans="1:51" s="5" customFormat="1" x14ac:dyDescent="0.25">
      <c r="A130" s="22">
        <v>126</v>
      </c>
      <c r="B130" s="22"/>
      <c r="C130" s="40"/>
      <c r="D130" s="40"/>
      <c r="E130" s="40"/>
      <c r="F130" s="55"/>
      <c r="G130" s="31"/>
      <c r="H130" s="25"/>
      <c r="I130" s="26"/>
      <c r="J130" s="26"/>
      <c r="K130" s="54">
        <f t="shared" si="91"/>
        <v>0</v>
      </c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4">
        <f t="shared" si="92"/>
        <v>0</v>
      </c>
      <c r="AR130" s="54">
        <f t="shared" si="93"/>
        <v>0</v>
      </c>
      <c r="AS130" s="54">
        <f t="shared" si="94"/>
        <v>0</v>
      </c>
      <c r="AT130" s="54">
        <f t="shared" si="95"/>
        <v>0</v>
      </c>
      <c r="AU130" s="54">
        <f t="shared" si="96"/>
        <v>0</v>
      </c>
      <c r="AV130" s="30"/>
      <c r="AW130" s="30"/>
      <c r="AX130" s="30">
        <f t="shared" si="97"/>
        <v>0</v>
      </c>
      <c r="AY130" s="47" t="s">
        <v>15</v>
      </c>
    </row>
    <row r="131" spans="1:51" s="5" customFormat="1" x14ac:dyDescent="0.25">
      <c r="A131" s="22">
        <v>127</v>
      </c>
      <c r="B131" s="22"/>
      <c r="C131" s="40"/>
      <c r="D131" s="40"/>
      <c r="E131" s="40"/>
      <c r="F131" s="55"/>
      <c r="G131" s="31"/>
      <c r="H131" s="25"/>
      <c r="I131" s="26"/>
      <c r="J131" s="26"/>
      <c r="K131" s="54">
        <f t="shared" si="91"/>
        <v>0</v>
      </c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4">
        <f t="shared" si="92"/>
        <v>0</v>
      </c>
      <c r="AR131" s="54">
        <f t="shared" si="93"/>
        <v>0</v>
      </c>
      <c r="AS131" s="54">
        <f t="shared" si="94"/>
        <v>0</v>
      </c>
      <c r="AT131" s="54">
        <f t="shared" si="95"/>
        <v>0</v>
      </c>
      <c r="AU131" s="54">
        <f t="shared" si="96"/>
        <v>0</v>
      </c>
      <c r="AV131" s="30"/>
      <c r="AW131" s="30"/>
      <c r="AX131" s="30">
        <f t="shared" si="97"/>
        <v>0</v>
      </c>
      <c r="AY131" s="47" t="s">
        <v>15</v>
      </c>
    </row>
    <row r="132" spans="1:51" s="5" customFormat="1" x14ac:dyDescent="0.25">
      <c r="A132" s="22">
        <v>128</v>
      </c>
      <c r="B132" s="22"/>
      <c r="C132" s="40"/>
      <c r="D132" s="40"/>
      <c r="E132" s="40"/>
      <c r="F132" s="55"/>
      <c r="G132" s="31"/>
      <c r="H132" s="25"/>
      <c r="I132" s="26"/>
      <c r="J132" s="26"/>
      <c r="K132" s="54">
        <f t="shared" si="91"/>
        <v>0</v>
      </c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4">
        <f t="shared" si="92"/>
        <v>0</v>
      </c>
      <c r="AR132" s="54">
        <f t="shared" si="93"/>
        <v>0</v>
      </c>
      <c r="AS132" s="54">
        <f t="shared" si="94"/>
        <v>0</v>
      </c>
      <c r="AT132" s="54">
        <f t="shared" si="95"/>
        <v>0</v>
      </c>
      <c r="AU132" s="54">
        <f t="shared" si="96"/>
        <v>0</v>
      </c>
      <c r="AV132" s="30"/>
      <c r="AW132" s="30"/>
      <c r="AX132" s="30">
        <f t="shared" si="97"/>
        <v>0</v>
      </c>
      <c r="AY132" s="47" t="s">
        <v>15</v>
      </c>
    </row>
    <row r="133" spans="1:51" s="5" customFormat="1" x14ac:dyDescent="0.25">
      <c r="A133" s="22">
        <v>129</v>
      </c>
      <c r="B133" s="22"/>
      <c r="C133" s="40"/>
      <c r="D133" s="40"/>
      <c r="E133" s="40"/>
      <c r="F133" s="55"/>
      <c r="G133" s="70"/>
      <c r="H133" s="25"/>
      <c r="I133" s="26"/>
      <c r="J133" s="26"/>
      <c r="K133" s="54">
        <f t="shared" si="91"/>
        <v>0</v>
      </c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4">
        <f t="shared" si="92"/>
        <v>0</v>
      </c>
      <c r="AR133" s="54">
        <f t="shared" si="93"/>
        <v>0</v>
      </c>
      <c r="AS133" s="54">
        <f t="shared" si="94"/>
        <v>0</v>
      </c>
      <c r="AT133" s="54">
        <f t="shared" si="95"/>
        <v>0</v>
      </c>
      <c r="AU133" s="54">
        <f t="shared" si="96"/>
        <v>0</v>
      </c>
      <c r="AV133" s="30"/>
      <c r="AW133" s="30"/>
      <c r="AX133" s="30">
        <f t="shared" si="97"/>
        <v>0</v>
      </c>
      <c r="AY133" s="47" t="s">
        <v>15</v>
      </c>
    </row>
    <row r="134" spans="1:51" s="5" customFormat="1" x14ac:dyDescent="0.25">
      <c r="A134" s="22">
        <v>130</v>
      </c>
      <c r="B134" s="22"/>
      <c r="C134" s="40"/>
      <c r="D134" s="40"/>
      <c r="E134" s="40"/>
      <c r="F134" s="55"/>
      <c r="G134" s="31"/>
      <c r="H134" s="25"/>
      <c r="I134" s="26"/>
      <c r="J134" s="26"/>
      <c r="K134" s="54">
        <f t="shared" si="91"/>
        <v>0</v>
      </c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4">
        <f t="shared" si="92"/>
        <v>0</v>
      </c>
      <c r="AR134" s="54">
        <f t="shared" si="93"/>
        <v>0</v>
      </c>
      <c r="AS134" s="54">
        <f t="shared" si="94"/>
        <v>0</v>
      </c>
      <c r="AT134" s="54">
        <f t="shared" si="95"/>
        <v>0</v>
      </c>
      <c r="AU134" s="54">
        <f t="shared" si="96"/>
        <v>0</v>
      </c>
      <c r="AV134" s="30"/>
      <c r="AW134" s="30"/>
      <c r="AX134" s="30">
        <f t="shared" si="97"/>
        <v>0</v>
      </c>
      <c r="AY134" s="47" t="s">
        <v>15</v>
      </c>
    </row>
    <row r="135" spans="1:51" s="5" customFormat="1" x14ac:dyDescent="0.25">
      <c r="A135" s="22">
        <v>131</v>
      </c>
      <c r="B135" s="22"/>
      <c r="C135" s="40"/>
      <c r="D135" s="40"/>
      <c r="E135" s="40"/>
      <c r="F135" s="55"/>
      <c r="G135" s="31"/>
      <c r="H135" s="25"/>
      <c r="I135" s="26"/>
      <c r="J135" s="26"/>
      <c r="K135" s="54">
        <f t="shared" si="91"/>
        <v>0</v>
      </c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4">
        <f t="shared" si="92"/>
        <v>0</v>
      </c>
      <c r="AR135" s="54">
        <f t="shared" si="93"/>
        <v>0</v>
      </c>
      <c r="AS135" s="54">
        <f t="shared" si="94"/>
        <v>0</v>
      </c>
      <c r="AT135" s="54">
        <f t="shared" si="95"/>
        <v>0</v>
      </c>
      <c r="AU135" s="54">
        <f t="shared" si="96"/>
        <v>0</v>
      </c>
      <c r="AV135" s="30"/>
      <c r="AW135" s="30"/>
      <c r="AX135" s="30">
        <f t="shared" si="97"/>
        <v>0</v>
      </c>
      <c r="AY135" s="47" t="s">
        <v>15</v>
      </c>
    </row>
    <row r="136" spans="1:51" s="5" customFormat="1" x14ac:dyDescent="0.25">
      <c r="A136" s="22">
        <v>132</v>
      </c>
      <c r="B136" s="22"/>
      <c r="C136" s="40"/>
      <c r="D136" s="40"/>
      <c r="E136" s="40"/>
      <c r="F136" s="55"/>
      <c r="G136" s="31"/>
      <c r="H136" s="25"/>
      <c r="I136" s="26"/>
      <c r="J136" s="26"/>
      <c r="K136" s="54">
        <f t="shared" si="91"/>
        <v>0</v>
      </c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4">
        <f t="shared" si="92"/>
        <v>0</v>
      </c>
      <c r="AR136" s="54">
        <f t="shared" si="93"/>
        <v>0</v>
      </c>
      <c r="AS136" s="54">
        <f t="shared" si="94"/>
        <v>0</v>
      </c>
      <c r="AT136" s="54">
        <f t="shared" si="95"/>
        <v>0</v>
      </c>
      <c r="AU136" s="54">
        <f t="shared" si="96"/>
        <v>0</v>
      </c>
      <c r="AV136" s="30"/>
      <c r="AW136" s="30"/>
      <c r="AX136" s="30">
        <f t="shared" si="97"/>
        <v>0</v>
      </c>
      <c r="AY136" s="47" t="s">
        <v>15</v>
      </c>
    </row>
    <row r="137" spans="1:51" s="5" customFormat="1" x14ac:dyDescent="0.25">
      <c r="A137" s="22">
        <v>133</v>
      </c>
      <c r="B137" s="22"/>
      <c r="C137" s="40"/>
      <c r="D137" s="40"/>
      <c r="E137" s="40"/>
      <c r="F137" s="55"/>
      <c r="G137" s="31"/>
      <c r="H137" s="25"/>
      <c r="I137" s="26"/>
      <c r="J137" s="26"/>
      <c r="K137" s="54">
        <f t="shared" si="91"/>
        <v>0</v>
      </c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4">
        <f t="shared" si="92"/>
        <v>0</v>
      </c>
      <c r="AR137" s="54">
        <f t="shared" si="93"/>
        <v>0</v>
      </c>
      <c r="AS137" s="54">
        <f t="shared" si="94"/>
        <v>0</v>
      </c>
      <c r="AT137" s="54">
        <f t="shared" si="95"/>
        <v>0</v>
      </c>
      <c r="AU137" s="54">
        <f t="shared" si="96"/>
        <v>0</v>
      </c>
      <c r="AV137" s="30"/>
      <c r="AW137" s="30"/>
      <c r="AX137" s="30">
        <f t="shared" si="97"/>
        <v>0</v>
      </c>
      <c r="AY137" s="47" t="s">
        <v>15</v>
      </c>
    </row>
    <row r="138" spans="1:51" s="5" customFormat="1" x14ac:dyDescent="0.25">
      <c r="A138" s="22">
        <v>134</v>
      </c>
      <c r="B138" s="22"/>
      <c r="C138" s="40"/>
      <c r="D138" s="40"/>
      <c r="E138" s="40"/>
      <c r="F138" s="55"/>
      <c r="G138" s="31"/>
      <c r="H138" s="25"/>
      <c r="I138" s="26"/>
      <c r="J138" s="26"/>
      <c r="K138" s="54">
        <f t="shared" si="91"/>
        <v>0</v>
      </c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4">
        <f t="shared" si="92"/>
        <v>0</v>
      </c>
      <c r="AR138" s="54">
        <f t="shared" si="93"/>
        <v>0</v>
      </c>
      <c r="AS138" s="54">
        <f t="shared" si="94"/>
        <v>0</v>
      </c>
      <c r="AT138" s="54">
        <f t="shared" si="95"/>
        <v>0</v>
      </c>
      <c r="AU138" s="54">
        <f t="shared" si="96"/>
        <v>0</v>
      </c>
      <c r="AV138" s="30"/>
      <c r="AW138" s="30"/>
      <c r="AX138" s="30">
        <f t="shared" si="97"/>
        <v>0</v>
      </c>
      <c r="AY138" s="47" t="s">
        <v>15</v>
      </c>
    </row>
    <row r="139" spans="1:51" s="5" customFormat="1" x14ac:dyDescent="0.25">
      <c r="A139" s="22">
        <v>135</v>
      </c>
      <c r="B139" s="22"/>
      <c r="C139" s="40"/>
      <c r="D139" s="40"/>
      <c r="E139" s="40"/>
      <c r="F139" s="55"/>
      <c r="G139" s="31"/>
      <c r="H139" s="25"/>
      <c r="I139" s="26"/>
      <c r="J139" s="26"/>
      <c r="K139" s="54">
        <f t="shared" si="91"/>
        <v>0</v>
      </c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4">
        <f t="shared" si="92"/>
        <v>0</v>
      </c>
      <c r="AR139" s="54">
        <f t="shared" si="93"/>
        <v>0</v>
      </c>
      <c r="AS139" s="54">
        <f t="shared" si="94"/>
        <v>0</v>
      </c>
      <c r="AT139" s="54">
        <f t="shared" si="95"/>
        <v>0</v>
      </c>
      <c r="AU139" s="54">
        <f t="shared" si="96"/>
        <v>0</v>
      </c>
      <c r="AV139" s="30"/>
      <c r="AW139" s="30"/>
      <c r="AX139" s="30">
        <f t="shared" si="97"/>
        <v>0</v>
      </c>
      <c r="AY139" s="47" t="s">
        <v>15</v>
      </c>
    </row>
    <row r="140" spans="1:51" s="5" customFormat="1" x14ac:dyDescent="0.25">
      <c r="A140" s="22">
        <v>136</v>
      </c>
      <c r="B140" s="22"/>
      <c r="C140" s="40"/>
      <c r="D140" s="40"/>
      <c r="E140" s="40"/>
      <c r="F140" s="55"/>
      <c r="G140" s="31"/>
      <c r="H140" s="25"/>
      <c r="I140" s="26"/>
      <c r="J140" s="26"/>
      <c r="K140" s="54">
        <f t="shared" si="91"/>
        <v>0</v>
      </c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4">
        <f t="shared" si="92"/>
        <v>0</v>
      </c>
      <c r="AR140" s="54">
        <f t="shared" si="93"/>
        <v>0</v>
      </c>
      <c r="AS140" s="54">
        <f t="shared" si="94"/>
        <v>0</v>
      </c>
      <c r="AT140" s="54">
        <f t="shared" si="95"/>
        <v>0</v>
      </c>
      <c r="AU140" s="54">
        <f t="shared" si="96"/>
        <v>0</v>
      </c>
      <c r="AV140" s="30"/>
      <c r="AW140" s="30"/>
      <c r="AX140" s="30">
        <f t="shared" si="97"/>
        <v>0</v>
      </c>
      <c r="AY140" s="47" t="s">
        <v>15</v>
      </c>
    </row>
    <row r="141" spans="1:51" s="5" customFormat="1" x14ac:dyDescent="0.25">
      <c r="A141" s="22">
        <v>137</v>
      </c>
      <c r="B141" s="22"/>
      <c r="C141" s="40"/>
      <c r="D141" s="40"/>
      <c r="E141" s="40"/>
      <c r="F141" s="55"/>
      <c r="G141" s="31"/>
      <c r="H141" s="25"/>
      <c r="I141" s="26"/>
      <c r="J141" s="26"/>
      <c r="K141" s="54">
        <f t="shared" si="91"/>
        <v>0</v>
      </c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4">
        <f t="shared" si="92"/>
        <v>0</v>
      </c>
      <c r="AR141" s="54">
        <f t="shared" si="93"/>
        <v>0</v>
      </c>
      <c r="AS141" s="54">
        <f t="shared" si="94"/>
        <v>0</v>
      </c>
      <c r="AT141" s="54">
        <f t="shared" si="95"/>
        <v>0</v>
      </c>
      <c r="AU141" s="54">
        <f t="shared" si="96"/>
        <v>0</v>
      </c>
      <c r="AV141" s="30"/>
      <c r="AW141" s="30"/>
      <c r="AX141" s="30">
        <f t="shared" si="97"/>
        <v>0</v>
      </c>
      <c r="AY141" s="47" t="s">
        <v>15</v>
      </c>
    </row>
    <row r="142" spans="1:51" s="5" customFormat="1" x14ac:dyDescent="0.25">
      <c r="A142" s="22">
        <v>138</v>
      </c>
      <c r="B142" s="22"/>
      <c r="C142" s="40"/>
      <c r="D142" s="40"/>
      <c r="E142" s="40"/>
      <c r="F142" s="55"/>
      <c r="G142" s="31"/>
      <c r="H142" s="25"/>
      <c r="I142" s="26"/>
      <c r="J142" s="26"/>
      <c r="K142" s="54">
        <f t="shared" si="91"/>
        <v>0</v>
      </c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4">
        <f t="shared" si="92"/>
        <v>0</v>
      </c>
      <c r="AR142" s="54">
        <f t="shared" si="93"/>
        <v>0</v>
      </c>
      <c r="AS142" s="54">
        <f t="shared" si="94"/>
        <v>0</v>
      </c>
      <c r="AT142" s="54">
        <f t="shared" si="95"/>
        <v>0</v>
      </c>
      <c r="AU142" s="54">
        <f t="shared" si="96"/>
        <v>0</v>
      </c>
      <c r="AV142" s="30"/>
      <c r="AW142" s="30"/>
      <c r="AX142" s="30">
        <f t="shared" si="97"/>
        <v>0</v>
      </c>
      <c r="AY142" s="47" t="s">
        <v>15</v>
      </c>
    </row>
    <row r="143" spans="1:51" s="5" customFormat="1" x14ac:dyDescent="0.25">
      <c r="A143" s="22">
        <v>139</v>
      </c>
      <c r="B143" s="22"/>
      <c r="C143" s="40"/>
      <c r="D143" s="40"/>
      <c r="E143" s="40"/>
      <c r="F143" s="55"/>
      <c r="G143" s="31"/>
      <c r="H143" s="25"/>
      <c r="I143" s="26"/>
      <c r="J143" s="26"/>
      <c r="K143" s="54">
        <f t="shared" si="91"/>
        <v>0</v>
      </c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4">
        <f t="shared" si="92"/>
        <v>0</v>
      </c>
      <c r="AR143" s="54">
        <f t="shared" si="93"/>
        <v>0</v>
      </c>
      <c r="AS143" s="54">
        <f t="shared" si="94"/>
        <v>0</v>
      </c>
      <c r="AT143" s="54">
        <f t="shared" si="95"/>
        <v>0</v>
      </c>
      <c r="AU143" s="54">
        <f t="shared" si="96"/>
        <v>0</v>
      </c>
      <c r="AV143" s="30"/>
      <c r="AW143" s="30"/>
      <c r="AX143" s="30">
        <f t="shared" si="97"/>
        <v>0</v>
      </c>
      <c r="AY143" s="47" t="s">
        <v>15</v>
      </c>
    </row>
    <row r="144" spans="1:51" s="5" customFormat="1" x14ac:dyDescent="0.25">
      <c r="A144" s="22">
        <v>140</v>
      </c>
      <c r="B144" s="22"/>
      <c r="C144" s="40"/>
      <c r="D144" s="40"/>
      <c r="E144" s="40"/>
      <c r="F144" s="55"/>
      <c r="G144" s="31"/>
      <c r="H144" s="25"/>
      <c r="I144" s="26"/>
      <c r="J144" s="26"/>
      <c r="K144" s="54">
        <f t="shared" si="91"/>
        <v>0</v>
      </c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4">
        <f t="shared" si="92"/>
        <v>0</v>
      </c>
      <c r="AR144" s="54">
        <f t="shared" si="93"/>
        <v>0</v>
      </c>
      <c r="AS144" s="54">
        <f t="shared" si="94"/>
        <v>0</v>
      </c>
      <c r="AT144" s="54">
        <f t="shared" si="95"/>
        <v>0</v>
      </c>
      <c r="AU144" s="54">
        <f t="shared" si="96"/>
        <v>0</v>
      </c>
      <c r="AV144" s="30"/>
      <c r="AW144" s="30"/>
      <c r="AX144" s="30">
        <f t="shared" si="97"/>
        <v>0</v>
      </c>
      <c r="AY144" s="47" t="s">
        <v>15</v>
      </c>
    </row>
    <row r="145" spans="1:51" s="5" customFormat="1" x14ac:dyDescent="0.25">
      <c r="A145" s="22">
        <v>141</v>
      </c>
      <c r="B145" s="22"/>
      <c r="C145" s="40"/>
      <c r="D145" s="40"/>
      <c r="E145" s="40"/>
      <c r="F145" s="55"/>
      <c r="G145" s="31"/>
      <c r="H145" s="25"/>
      <c r="I145" s="26"/>
      <c r="J145" s="26"/>
      <c r="K145" s="54">
        <f t="shared" si="91"/>
        <v>0</v>
      </c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4">
        <f t="shared" si="92"/>
        <v>0</v>
      </c>
      <c r="AR145" s="54">
        <f t="shared" si="93"/>
        <v>0</v>
      </c>
      <c r="AS145" s="54">
        <f t="shared" si="94"/>
        <v>0</v>
      </c>
      <c r="AT145" s="54">
        <f t="shared" si="95"/>
        <v>0</v>
      </c>
      <c r="AU145" s="54">
        <f t="shared" si="96"/>
        <v>0</v>
      </c>
      <c r="AV145" s="30"/>
      <c r="AW145" s="30"/>
      <c r="AX145" s="30">
        <f t="shared" si="97"/>
        <v>0</v>
      </c>
      <c r="AY145" s="47" t="s">
        <v>15</v>
      </c>
    </row>
    <row r="146" spans="1:51" s="5" customFormat="1" x14ac:dyDescent="0.25">
      <c r="A146" s="22">
        <v>142</v>
      </c>
      <c r="B146" s="22"/>
      <c r="C146" s="40"/>
      <c r="D146" s="40"/>
      <c r="E146" s="40"/>
      <c r="F146" s="55"/>
      <c r="G146" s="31"/>
      <c r="H146" s="25"/>
      <c r="I146" s="26"/>
      <c r="J146" s="26"/>
      <c r="K146" s="54">
        <f t="shared" si="91"/>
        <v>0</v>
      </c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4">
        <f t="shared" si="92"/>
        <v>0</v>
      </c>
      <c r="AR146" s="54">
        <f t="shared" si="93"/>
        <v>0</v>
      </c>
      <c r="AS146" s="54">
        <f t="shared" si="94"/>
        <v>0</v>
      </c>
      <c r="AT146" s="54">
        <f t="shared" si="95"/>
        <v>0</v>
      </c>
      <c r="AU146" s="54">
        <f t="shared" si="96"/>
        <v>0</v>
      </c>
      <c r="AV146" s="30"/>
      <c r="AW146" s="30"/>
      <c r="AX146" s="30">
        <f t="shared" si="97"/>
        <v>0</v>
      </c>
      <c r="AY146" s="47" t="s">
        <v>15</v>
      </c>
    </row>
    <row r="147" spans="1:51" s="5" customFormat="1" x14ac:dyDescent="0.25">
      <c r="A147" s="22">
        <v>143</v>
      </c>
      <c r="B147" s="22"/>
      <c r="C147" s="40"/>
      <c r="D147" s="40"/>
      <c r="E147" s="40"/>
      <c r="F147" s="55"/>
      <c r="G147" s="31"/>
      <c r="H147" s="25"/>
      <c r="I147" s="26"/>
      <c r="J147" s="26"/>
      <c r="K147" s="54">
        <f t="shared" si="91"/>
        <v>0</v>
      </c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4">
        <f t="shared" si="92"/>
        <v>0</v>
      </c>
      <c r="AR147" s="54">
        <f t="shared" si="93"/>
        <v>0</v>
      </c>
      <c r="AS147" s="54">
        <f t="shared" si="94"/>
        <v>0</v>
      </c>
      <c r="AT147" s="54">
        <f t="shared" si="95"/>
        <v>0</v>
      </c>
      <c r="AU147" s="54">
        <f t="shared" si="96"/>
        <v>0</v>
      </c>
      <c r="AV147" s="30"/>
      <c r="AW147" s="30"/>
      <c r="AX147" s="30">
        <f t="shared" si="97"/>
        <v>0</v>
      </c>
      <c r="AY147" s="47" t="s">
        <v>15</v>
      </c>
    </row>
    <row r="148" spans="1:51" s="5" customFormat="1" x14ac:dyDescent="0.25">
      <c r="A148" s="22">
        <v>144</v>
      </c>
      <c r="B148" s="22"/>
      <c r="C148" s="40"/>
      <c r="D148" s="40"/>
      <c r="E148" s="40"/>
      <c r="F148" s="55"/>
      <c r="G148" s="31"/>
      <c r="H148" s="25"/>
      <c r="I148" s="26"/>
      <c r="J148" s="26"/>
      <c r="K148" s="54">
        <f t="shared" ref="K148:K152" si="98">J148+I148</f>
        <v>0</v>
      </c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4">
        <f t="shared" si="92"/>
        <v>0</v>
      </c>
      <c r="AR148" s="54">
        <f t="shared" si="93"/>
        <v>0</v>
      </c>
      <c r="AS148" s="54">
        <f t="shared" si="94"/>
        <v>0</v>
      </c>
      <c r="AT148" s="54">
        <f t="shared" si="95"/>
        <v>0</v>
      </c>
      <c r="AU148" s="54">
        <f t="shared" si="96"/>
        <v>0</v>
      </c>
      <c r="AV148" s="30"/>
      <c r="AW148" s="30"/>
      <c r="AX148" s="30">
        <f t="shared" si="97"/>
        <v>0</v>
      </c>
      <c r="AY148" s="47" t="s">
        <v>15</v>
      </c>
    </row>
    <row r="149" spans="1:51" s="5" customFormat="1" x14ac:dyDescent="0.25">
      <c r="A149" s="22">
        <v>145</v>
      </c>
      <c r="B149" s="22"/>
      <c r="C149" s="40"/>
      <c r="D149" s="40"/>
      <c r="E149" s="40"/>
      <c r="F149" s="55"/>
      <c r="G149" s="31"/>
      <c r="H149" s="25"/>
      <c r="I149" s="26"/>
      <c r="J149" s="26"/>
      <c r="K149" s="54">
        <f t="shared" si="98"/>
        <v>0</v>
      </c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4">
        <f t="shared" si="92"/>
        <v>0</v>
      </c>
      <c r="AR149" s="54">
        <f t="shared" si="93"/>
        <v>0</v>
      </c>
      <c r="AS149" s="54">
        <f t="shared" si="94"/>
        <v>0</v>
      </c>
      <c r="AT149" s="54">
        <f t="shared" si="95"/>
        <v>0</v>
      </c>
      <c r="AU149" s="54">
        <f t="shared" si="96"/>
        <v>0</v>
      </c>
      <c r="AV149" s="30"/>
      <c r="AW149" s="30"/>
      <c r="AX149" s="30">
        <f t="shared" si="97"/>
        <v>0</v>
      </c>
      <c r="AY149" s="47" t="s">
        <v>15</v>
      </c>
    </row>
    <row r="150" spans="1:51" s="5" customFormat="1" x14ac:dyDescent="0.25">
      <c r="A150" s="22">
        <v>146</v>
      </c>
      <c r="B150" s="22"/>
      <c r="C150" s="40"/>
      <c r="D150" s="40"/>
      <c r="E150" s="40"/>
      <c r="F150" s="55"/>
      <c r="G150" s="31"/>
      <c r="H150" s="25"/>
      <c r="I150" s="26"/>
      <c r="J150" s="26"/>
      <c r="K150" s="54">
        <f t="shared" si="98"/>
        <v>0</v>
      </c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4">
        <f t="shared" si="92"/>
        <v>0</v>
      </c>
      <c r="AR150" s="54">
        <f t="shared" si="93"/>
        <v>0</v>
      </c>
      <c r="AS150" s="54">
        <f t="shared" si="94"/>
        <v>0</v>
      </c>
      <c r="AT150" s="54">
        <f t="shared" si="95"/>
        <v>0</v>
      </c>
      <c r="AU150" s="54">
        <f t="shared" si="96"/>
        <v>0</v>
      </c>
      <c r="AV150" s="30"/>
      <c r="AW150" s="30"/>
      <c r="AX150" s="30">
        <f t="shared" si="97"/>
        <v>0</v>
      </c>
      <c r="AY150" s="47" t="s">
        <v>15</v>
      </c>
    </row>
    <row r="151" spans="1:51" s="5" customFormat="1" x14ac:dyDescent="0.25">
      <c r="A151" s="22">
        <v>147</v>
      </c>
      <c r="B151" s="22"/>
      <c r="C151" s="40"/>
      <c r="D151" s="40"/>
      <c r="E151" s="40"/>
      <c r="F151" s="55"/>
      <c r="G151" s="31"/>
      <c r="H151" s="25"/>
      <c r="I151" s="26"/>
      <c r="J151" s="26"/>
      <c r="K151" s="54">
        <f t="shared" si="98"/>
        <v>0</v>
      </c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4">
        <f t="shared" si="92"/>
        <v>0</v>
      </c>
      <c r="AR151" s="54">
        <f t="shared" si="93"/>
        <v>0</v>
      </c>
      <c r="AS151" s="54">
        <f t="shared" si="94"/>
        <v>0</v>
      </c>
      <c r="AT151" s="54">
        <f t="shared" si="95"/>
        <v>0</v>
      </c>
      <c r="AU151" s="54">
        <f t="shared" si="96"/>
        <v>0</v>
      </c>
      <c r="AV151" s="30"/>
      <c r="AW151" s="30"/>
      <c r="AX151" s="30">
        <f t="shared" si="97"/>
        <v>0</v>
      </c>
      <c r="AY151" s="47" t="s">
        <v>15</v>
      </c>
    </row>
    <row r="152" spans="1:51" s="5" customFormat="1" x14ac:dyDescent="0.25">
      <c r="A152" s="22">
        <v>148</v>
      </c>
      <c r="B152" s="22"/>
      <c r="C152" s="40"/>
      <c r="D152" s="40"/>
      <c r="E152" s="40"/>
      <c r="F152" s="55"/>
      <c r="G152" s="31"/>
      <c r="H152" s="25"/>
      <c r="I152" s="26"/>
      <c r="J152" s="26"/>
      <c r="K152" s="54">
        <f t="shared" si="98"/>
        <v>0</v>
      </c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4">
        <f t="shared" si="92"/>
        <v>0</v>
      </c>
      <c r="AR152" s="54">
        <f t="shared" si="93"/>
        <v>0</v>
      </c>
      <c r="AS152" s="54">
        <f t="shared" si="94"/>
        <v>0</v>
      </c>
      <c r="AT152" s="54">
        <f t="shared" si="95"/>
        <v>0</v>
      </c>
      <c r="AU152" s="54">
        <f t="shared" si="96"/>
        <v>0</v>
      </c>
      <c r="AV152" s="30"/>
      <c r="AW152" s="30"/>
      <c r="AX152" s="30">
        <f t="shared" si="97"/>
        <v>0</v>
      </c>
      <c r="AY152" s="47" t="s">
        <v>15</v>
      </c>
    </row>
    <row r="153" spans="1:51" s="5" customFormat="1" x14ac:dyDescent="0.25">
      <c r="A153" s="22">
        <v>149</v>
      </c>
      <c r="B153" s="22"/>
      <c r="C153" s="40"/>
      <c r="D153" s="40"/>
      <c r="E153" s="40"/>
      <c r="F153" s="55"/>
      <c r="G153" s="31"/>
      <c r="H153" s="25"/>
      <c r="I153" s="26"/>
      <c r="J153" s="26"/>
      <c r="K153" s="54">
        <f t="shared" si="83"/>
        <v>0</v>
      </c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4">
        <f t="shared" si="84"/>
        <v>0</v>
      </c>
      <c r="AR153" s="54">
        <f t="shared" si="85"/>
        <v>0</v>
      </c>
      <c r="AS153" s="54">
        <f t="shared" si="86"/>
        <v>0</v>
      </c>
      <c r="AT153" s="54">
        <f t="shared" si="87"/>
        <v>0</v>
      </c>
      <c r="AU153" s="54">
        <f t="shared" si="88"/>
        <v>0</v>
      </c>
      <c r="AV153" s="30"/>
      <c r="AW153" s="30"/>
      <c r="AX153" s="30">
        <f t="shared" si="89"/>
        <v>0</v>
      </c>
      <c r="AY153" s="47" t="s">
        <v>15</v>
      </c>
    </row>
    <row r="154" spans="1:51" x14ac:dyDescent="0.25">
      <c r="A154" s="22"/>
      <c r="B154" s="39"/>
      <c r="C154" s="39"/>
      <c r="D154" s="39"/>
      <c r="E154" s="39"/>
      <c r="F154" s="80" t="s">
        <v>7</v>
      </c>
      <c r="G154" s="81"/>
      <c r="H154" s="82"/>
      <c r="I154" s="56">
        <f t="shared" ref="I154:AU154" si="99">SUM(I5:I153)</f>
        <v>0</v>
      </c>
      <c r="J154" s="56">
        <f t="shared" si="99"/>
        <v>0</v>
      </c>
      <c r="K154" s="56">
        <f t="shared" si="99"/>
        <v>0</v>
      </c>
      <c r="L154" s="56">
        <f t="shared" si="99"/>
        <v>0</v>
      </c>
      <c r="M154" s="56">
        <f t="shared" si="99"/>
        <v>0</v>
      </c>
      <c r="N154" s="56">
        <f t="shared" si="99"/>
        <v>0</v>
      </c>
      <c r="O154" s="56">
        <f t="shared" si="99"/>
        <v>0</v>
      </c>
      <c r="P154" s="56">
        <f t="shared" si="99"/>
        <v>0</v>
      </c>
      <c r="Q154" s="56">
        <f t="shared" si="99"/>
        <v>0</v>
      </c>
      <c r="R154" s="56">
        <f t="shared" si="99"/>
        <v>0</v>
      </c>
      <c r="S154" s="56">
        <f t="shared" si="99"/>
        <v>0</v>
      </c>
      <c r="T154" s="56">
        <f t="shared" si="99"/>
        <v>0</v>
      </c>
      <c r="U154" s="56">
        <f t="shared" si="99"/>
        <v>0</v>
      </c>
      <c r="V154" s="56">
        <f t="shared" si="99"/>
        <v>0</v>
      </c>
      <c r="W154" s="56">
        <f t="shared" si="99"/>
        <v>0</v>
      </c>
      <c r="X154" s="56">
        <f t="shared" si="99"/>
        <v>0</v>
      </c>
      <c r="Y154" s="56">
        <f t="shared" si="99"/>
        <v>0</v>
      </c>
      <c r="Z154" s="56">
        <f t="shared" si="99"/>
        <v>0</v>
      </c>
      <c r="AA154" s="56">
        <f t="shared" si="99"/>
        <v>0</v>
      </c>
      <c r="AB154" s="56">
        <f t="shared" si="99"/>
        <v>0</v>
      </c>
      <c r="AC154" s="56">
        <f t="shared" si="99"/>
        <v>0</v>
      </c>
      <c r="AD154" s="56">
        <f t="shared" si="99"/>
        <v>0</v>
      </c>
      <c r="AE154" s="56">
        <f t="shared" si="99"/>
        <v>0</v>
      </c>
      <c r="AF154" s="56">
        <f t="shared" si="99"/>
        <v>0</v>
      </c>
      <c r="AG154" s="56">
        <f t="shared" si="99"/>
        <v>0</v>
      </c>
      <c r="AH154" s="56">
        <f t="shared" si="99"/>
        <v>0</v>
      </c>
      <c r="AI154" s="56">
        <f t="shared" si="99"/>
        <v>0</v>
      </c>
      <c r="AJ154" s="56">
        <f t="shared" si="99"/>
        <v>0</v>
      </c>
      <c r="AK154" s="56">
        <f t="shared" si="99"/>
        <v>0</v>
      </c>
      <c r="AL154" s="56">
        <f t="shared" si="99"/>
        <v>0</v>
      </c>
      <c r="AM154" s="56">
        <f t="shared" si="99"/>
        <v>0</v>
      </c>
      <c r="AN154" s="56">
        <f t="shared" si="99"/>
        <v>0</v>
      </c>
      <c r="AO154" s="56">
        <f t="shared" si="99"/>
        <v>0</v>
      </c>
      <c r="AP154" s="56">
        <f t="shared" si="99"/>
        <v>0</v>
      </c>
      <c r="AQ154" s="32">
        <f t="shared" si="99"/>
        <v>0</v>
      </c>
      <c r="AR154" s="56">
        <f t="shared" si="99"/>
        <v>0</v>
      </c>
      <c r="AS154" s="56">
        <f t="shared" si="99"/>
        <v>0</v>
      </c>
      <c r="AT154" s="56">
        <f t="shared" si="99"/>
        <v>0</v>
      </c>
      <c r="AU154" s="32">
        <f t="shared" si="99"/>
        <v>0</v>
      </c>
      <c r="AV154" s="33"/>
      <c r="AW154" s="33"/>
      <c r="AX154" s="32">
        <f t="shared" ref="AX154" si="100">SUM(AX5:AX153)</f>
        <v>0</v>
      </c>
      <c r="AY154" s="33"/>
    </row>
    <row r="155" spans="1:51" x14ac:dyDescent="0.25">
      <c r="AU155" s="63"/>
    </row>
  </sheetData>
  <mergeCells count="2">
    <mergeCell ref="A1:W1"/>
    <mergeCell ref="F154:H154"/>
  </mergeCells>
  <conditionalFormatting sqref="A3:J3 L3:AP3">
    <cfRule type="containsText" dxfId="9" priority="485" operator="containsText" text="sat"/>
    <cfRule type="containsText" dxfId="8" priority="486" operator="containsText" text="sun"/>
  </conditionalFormatting>
  <conditionalFormatting sqref="F5">
    <cfRule type="duplicateValues" priority="50"/>
    <cfRule type="duplicateValues" priority="52"/>
    <cfRule type="duplicateValues" priority="49"/>
    <cfRule type="duplicateValues" priority="51"/>
  </conditionalFormatting>
  <conditionalFormatting sqref="F6:F7">
    <cfRule type="duplicateValues" priority="45"/>
    <cfRule type="duplicateValues" priority="46"/>
    <cfRule type="duplicateValues" priority="47"/>
    <cfRule type="duplicateValues" priority="48"/>
  </conditionalFormatting>
  <conditionalFormatting sqref="F8">
    <cfRule type="duplicateValues" priority="41"/>
    <cfRule type="duplicateValues" priority="42"/>
    <cfRule type="duplicateValues" priority="43"/>
    <cfRule type="duplicateValues" priority="44"/>
  </conditionalFormatting>
  <conditionalFormatting sqref="F9:F12">
    <cfRule type="duplicateValues" priority="39"/>
    <cfRule type="duplicateValues" priority="40"/>
    <cfRule type="duplicateValues" priority="38"/>
    <cfRule type="duplicateValues" priority="37"/>
  </conditionalFormatting>
  <conditionalFormatting sqref="F13:F17">
    <cfRule type="duplicateValues" priority="33"/>
    <cfRule type="duplicateValues" priority="34"/>
    <cfRule type="duplicateValues" priority="35"/>
    <cfRule type="duplicateValues" priority="36"/>
  </conditionalFormatting>
  <conditionalFormatting sqref="F18">
    <cfRule type="duplicateValues" priority="30"/>
    <cfRule type="duplicateValues" priority="29"/>
    <cfRule type="duplicateValues" priority="31"/>
    <cfRule type="duplicateValues" priority="32"/>
  </conditionalFormatting>
  <conditionalFormatting sqref="F19:F22">
    <cfRule type="duplicateValues" priority="28"/>
    <cfRule type="duplicateValues" priority="25"/>
    <cfRule type="duplicateValues" priority="26"/>
    <cfRule type="duplicateValues" priority="27"/>
  </conditionalFormatting>
  <conditionalFormatting sqref="F23">
    <cfRule type="duplicateValues" priority="24"/>
    <cfRule type="duplicateValues" priority="21"/>
    <cfRule type="duplicateValues" priority="22"/>
    <cfRule type="duplicateValues" priority="23"/>
  </conditionalFormatting>
  <conditionalFormatting sqref="F24:F28">
    <cfRule type="duplicateValues" priority="19"/>
    <cfRule type="duplicateValues" priority="18"/>
    <cfRule type="duplicateValues" priority="17"/>
    <cfRule type="duplicateValues" priority="20"/>
  </conditionalFormatting>
  <conditionalFormatting sqref="F29:F31 F33:F34">
    <cfRule type="duplicateValues" priority="14"/>
    <cfRule type="duplicateValues" priority="15"/>
    <cfRule type="duplicateValues" priority="16"/>
    <cfRule type="duplicateValues" priority="13"/>
  </conditionalFormatting>
  <conditionalFormatting sqref="F32">
    <cfRule type="duplicateValues" priority="5"/>
    <cfRule type="duplicateValues" priority="6"/>
    <cfRule type="duplicateValues" priority="7"/>
    <cfRule type="duplicateValues" priority="8"/>
  </conditionalFormatting>
  <conditionalFormatting sqref="F35:F47">
    <cfRule type="duplicateValues" priority="9"/>
    <cfRule type="duplicateValues" priority="12"/>
    <cfRule type="duplicateValues" priority="11"/>
    <cfRule type="duplicateValues" priority="10"/>
  </conditionalFormatting>
  <conditionalFormatting sqref="F48:F55">
    <cfRule type="duplicateValues" priority="3"/>
    <cfRule type="duplicateValues" priority="4"/>
    <cfRule type="duplicateValues" priority="2"/>
    <cfRule type="duplicateValues" priority="1"/>
  </conditionalFormatting>
  <conditionalFormatting sqref="F56:F63">
    <cfRule type="duplicateValues" priority="61"/>
    <cfRule type="duplicateValues" priority="62"/>
    <cfRule type="duplicateValues" priority="63"/>
    <cfRule type="duplicateValues" priority="64"/>
  </conditionalFormatting>
  <conditionalFormatting sqref="F64:F78">
    <cfRule type="duplicateValues" priority="79"/>
    <cfRule type="duplicateValues" priority="80"/>
    <cfRule type="duplicateValues" priority="77"/>
    <cfRule type="duplicateValues" priority="78"/>
  </conditionalFormatting>
  <conditionalFormatting sqref="F79:F86">
    <cfRule type="duplicateValues" priority="151"/>
    <cfRule type="duplicateValues" priority="152"/>
    <cfRule type="duplicateValues" priority="150"/>
    <cfRule type="duplicateValues" priority="149"/>
  </conditionalFormatting>
  <conditionalFormatting sqref="F87">
    <cfRule type="duplicateValues" priority="104"/>
    <cfRule type="duplicateValues" priority="101"/>
    <cfRule type="duplicateValues" priority="102"/>
    <cfRule type="duplicateValues" priority="103"/>
  </conditionalFormatting>
  <conditionalFormatting sqref="F88:F93">
    <cfRule type="duplicateValues" priority="97"/>
    <cfRule type="duplicateValues" priority="99"/>
    <cfRule type="duplicateValues" priority="100"/>
    <cfRule type="duplicateValues" priority="98"/>
  </conditionalFormatting>
  <conditionalFormatting sqref="F94:F96 F98:F99">
    <cfRule type="duplicateValues" priority="95"/>
    <cfRule type="duplicateValues" priority="96"/>
    <cfRule type="duplicateValues" priority="93"/>
    <cfRule type="duplicateValues" priority="94"/>
  </conditionalFormatting>
  <conditionalFormatting sqref="F97">
    <cfRule type="duplicateValues" priority="53"/>
    <cfRule type="duplicateValues" priority="54"/>
    <cfRule type="duplicateValues" priority="55"/>
    <cfRule type="duplicateValues" priority="56"/>
  </conditionalFormatting>
  <conditionalFormatting sqref="F100:F132">
    <cfRule type="duplicateValues" priority="91"/>
    <cfRule type="duplicateValues" priority="92"/>
    <cfRule type="duplicateValues" priority="90"/>
    <cfRule type="duplicateValues" priority="89"/>
  </conditionalFormatting>
  <conditionalFormatting sqref="F133:F144">
    <cfRule type="duplicateValues" priority="105"/>
    <cfRule type="duplicateValues" priority="107"/>
    <cfRule type="duplicateValues" priority="108"/>
    <cfRule type="duplicateValues" priority="106"/>
  </conditionalFormatting>
  <conditionalFormatting sqref="F145:F152">
    <cfRule type="duplicateValues" priority="60"/>
    <cfRule type="duplicateValues" priority="59"/>
    <cfRule type="duplicateValues" priority="58"/>
    <cfRule type="duplicateValues" priority="57"/>
  </conditionalFormatting>
  <conditionalFormatting sqref="F153">
    <cfRule type="duplicateValues" priority="241"/>
    <cfRule type="duplicateValues" priority="242"/>
    <cfRule type="duplicateValues" priority="243"/>
    <cfRule type="duplicateValues" priority="244"/>
  </conditionalFormatting>
  <dataValidations count="1">
    <dataValidation type="list" allowBlank="1" showInputMessage="1" showErrorMessage="1" sqref="D5:D153" xr:uid="{00000000-0002-0000-0100-000000000000}">
      <formula1>"Dry Goods, Spices &amp; Seasonings, Oils &amp; Condiments, Vegetables, Fruits, Dairy, Eggs &amp; Protein, Beverages, Bakery &amp; Snacks, Cleaning &amp; Utility Items"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F24"/>
  <sheetViews>
    <sheetView showGridLines="0" zoomScaleNormal="100" workbookViewId="0">
      <pane xSplit="10" ySplit="4" topLeftCell="AP5" activePane="bottomRight" state="frozen"/>
      <selection pane="topRight" activeCell="K1" sqref="K1"/>
      <selection pane="bottomLeft" activeCell="A5" sqref="A5"/>
      <selection pane="bottomRight" activeCell="C3" sqref="C3"/>
    </sheetView>
  </sheetViews>
  <sheetFormatPr defaultColWidth="0" defaultRowHeight="15" x14ac:dyDescent="0.25"/>
  <cols>
    <col min="1" max="1" width="6.140625" style="5" bestFit="1" customWidth="1"/>
    <col min="2" max="2" width="19.85546875" style="5" customWidth="1"/>
    <col min="3" max="3" width="16.140625" style="5" bestFit="1" customWidth="1"/>
    <col min="4" max="4" width="33.42578125" style="5" customWidth="1"/>
    <col min="5" max="5" width="29.7109375" style="34" bestFit="1" customWidth="1"/>
    <col min="6" max="6" width="7" style="34" bestFit="1" customWidth="1"/>
    <col min="7" max="7" width="9.140625" style="35" bestFit="1" customWidth="1"/>
    <col min="8" max="8" width="7.5703125" style="36" bestFit="1" customWidth="1"/>
    <col min="9" max="9" width="5.7109375" style="35" bestFit="1" customWidth="1"/>
    <col min="10" max="10" width="5.140625" style="5" bestFit="1" customWidth="1"/>
    <col min="11" max="37" width="3.28515625" style="5" bestFit="1" customWidth="1"/>
    <col min="38" max="38" width="3.28515625" style="37" bestFit="1" customWidth="1"/>
    <col min="39" max="41" width="3.28515625" style="5" bestFit="1" customWidth="1"/>
    <col min="42" max="42" width="5.5703125" style="5" bestFit="1" customWidth="1"/>
    <col min="43" max="43" width="6.42578125" style="35" bestFit="1" customWidth="1"/>
    <col min="44" max="44" width="10.7109375" style="5" customWidth="1"/>
    <col min="45" max="45" width="7.42578125" style="5" bestFit="1" customWidth="1"/>
    <col min="46" max="46" width="8.28515625" style="5" bestFit="1" customWidth="1"/>
    <col min="47" max="47" width="4.85546875" style="5" bestFit="1" customWidth="1"/>
    <col min="48" max="48" width="4.7109375" style="5" bestFit="1" customWidth="1"/>
    <col min="49" max="49" width="8.140625" style="5" bestFit="1" customWidth="1"/>
    <col min="50" max="50" width="10.140625" style="5" customWidth="1"/>
    <col min="51" max="51" width="2.7109375" style="5" customWidth="1"/>
    <col min="52" max="1020" width="0" style="5" hidden="1" customWidth="1"/>
    <col min="1021" max="16384" width="9.140625" style="38" hidden="1"/>
  </cols>
  <sheetData>
    <row r="1" spans="1:50" ht="23.25" thickBot="1" x14ac:dyDescent="0.3">
      <c r="A1" s="73" t="str">
        <f>"GuestVilla Bottle Consu. of "&amp; TEXT(K4," MMM YY")</f>
        <v>GuestVilla Bottle Consu. of  Jan 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4"/>
      <c r="AQ1" s="1"/>
      <c r="AR1" s="1"/>
    </row>
    <row r="2" spans="1:50" x14ac:dyDescent="0.25">
      <c r="A2" s="1"/>
      <c r="B2" s="1"/>
      <c r="C2" s="1"/>
      <c r="D2" s="1"/>
      <c r="E2" s="6"/>
      <c r="F2" s="6"/>
      <c r="G2" s="6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9"/>
      <c r="AM2" s="1"/>
      <c r="AN2" s="1"/>
      <c r="AO2" s="1"/>
      <c r="AP2" s="1"/>
      <c r="AQ2" s="1"/>
      <c r="AR2" s="1"/>
    </row>
    <row r="3" spans="1:50" ht="25.5" x14ac:dyDescent="0.25">
      <c r="A3" s="10"/>
      <c r="B3" s="10"/>
      <c r="C3" s="10" t="s">
        <v>44</v>
      </c>
      <c r="D3" s="10"/>
      <c r="E3" s="11"/>
      <c r="F3" s="11"/>
      <c r="G3" s="11"/>
      <c r="H3" s="12"/>
      <c r="I3" s="13"/>
      <c r="J3" s="43" t="s">
        <v>31</v>
      </c>
      <c r="K3" s="14" t="str">
        <f>TEXT(K4,"ddd")</f>
        <v>Thu</v>
      </c>
      <c r="L3" s="14" t="str">
        <f t="shared" ref="L3:AD3" si="0">TEXT(L4,"ddd")</f>
        <v>Fri</v>
      </c>
      <c r="M3" s="14" t="str">
        <f t="shared" si="0"/>
        <v>Sat</v>
      </c>
      <c r="N3" s="14" t="str">
        <f t="shared" si="0"/>
        <v>Sun</v>
      </c>
      <c r="O3" s="14" t="str">
        <f t="shared" si="0"/>
        <v>Mon</v>
      </c>
      <c r="P3" s="14" t="str">
        <f t="shared" si="0"/>
        <v>Tue</v>
      </c>
      <c r="Q3" s="14" t="str">
        <f t="shared" si="0"/>
        <v>Wed</v>
      </c>
      <c r="R3" s="14" t="str">
        <f t="shared" si="0"/>
        <v>Thu</v>
      </c>
      <c r="S3" s="14" t="str">
        <f t="shared" si="0"/>
        <v>Fri</v>
      </c>
      <c r="T3" s="14" t="str">
        <f t="shared" si="0"/>
        <v>Sat</v>
      </c>
      <c r="U3" s="14" t="str">
        <f t="shared" si="0"/>
        <v>Sun</v>
      </c>
      <c r="V3" s="14" t="str">
        <f t="shared" si="0"/>
        <v>Mon</v>
      </c>
      <c r="W3" s="14" t="str">
        <f t="shared" si="0"/>
        <v>Tue</v>
      </c>
      <c r="X3" s="14" t="str">
        <f t="shared" si="0"/>
        <v>Wed</v>
      </c>
      <c r="Y3" s="14" t="str">
        <f t="shared" si="0"/>
        <v>Thu</v>
      </c>
      <c r="Z3" s="14" t="str">
        <f t="shared" si="0"/>
        <v>Fri</v>
      </c>
      <c r="AA3" s="14" t="str">
        <f t="shared" si="0"/>
        <v>Sat</v>
      </c>
      <c r="AB3" s="14" t="str">
        <f t="shared" si="0"/>
        <v>Sun</v>
      </c>
      <c r="AC3" s="14" t="str">
        <f t="shared" si="0"/>
        <v>Mon</v>
      </c>
      <c r="AD3" s="14" t="str">
        <f t="shared" si="0"/>
        <v>Tue</v>
      </c>
      <c r="AE3" s="14" t="str">
        <f>TEXT(AE4,"ddd")</f>
        <v>Wed</v>
      </c>
      <c r="AF3" s="14" t="str">
        <f t="shared" ref="AF3:AO3" si="1">TEXT(AF4,"ddd")</f>
        <v>Thu</v>
      </c>
      <c r="AG3" s="14" t="str">
        <f t="shared" si="1"/>
        <v>Fri</v>
      </c>
      <c r="AH3" s="14" t="str">
        <f t="shared" si="1"/>
        <v>Sat</v>
      </c>
      <c r="AI3" s="14" t="str">
        <f t="shared" si="1"/>
        <v>Sun</v>
      </c>
      <c r="AJ3" s="14" t="str">
        <f t="shared" si="1"/>
        <v>Mon</v>
      </c>
      <c r="AK3" s="14" t="str">
        <f t="shared" si="1"/>
        <v>Tue</v>
      </c>
      <c r="AL3" s="14" t="str">
        <f t="shared" si="1"/>
        <v>Wed</v>
      </c>
      <c r="AM3" s="14" t="str">
        <f t="shared" si="1"/>
        <v>Thu</v>
      </c>
      <c r="AN3" s="14" t="str">
        <f t="shared" si="1"/>
        <v>Fri</v>
      </c>
      <c r="AO3" s="14" t="str">
        <f t="shared" si="1"/>
        <v>Sat</v>
      </c>
      <c r="AP3" s="43" t="s">
        <v>31</v>
      </c>
      <c r="AQ3" s="43" t="s">
        <v>31</v>
      </c>
      <c r="AR3" s="43" t="s">
        <v>31</v>
      </c>
      <c r="AS3" s="43" t="s">
        <v>31</v>
      </c>
      <c r="AT3" s="43" t="s">
        <v>31</v>
      </c>
      <c r="AW3" s="43" t="s">
        <v>31</v>
      </c>
    </row>
    <row r="4" spans="1:50" ht="39" customHeight="1" x14ac:dyDescent="0.25">
      <c r="A4" s="15" t="s">
        <v>0</v>
      </c>
      <c r="B4" s="15" t="s">
        <v>32</v>
      </c>
      <c r="C4" s="15" t="s">
        <v>13</v>
      </c>
      <c r="D4" s="15" t="s">
        <v>26</v>
      </c>
      <c r="E4" s="16" t="s">
        <v>1</v>
      </c>
      <c r="F4" s="16" t="s">
        <v>2</v>
      </c>
      <c r="G4" s="16" t="s">
        <v>3</v>
      </c>
      <c r="H4" s="17" t="s">
        <v>4</v>
      </c>
      <c r="I4" s="18" t="s">
        <v>5</v>
      </c>
      <c r="J4" s="19" t="s">
        <v>6</v>
      </c>
      <c r="K4" s="20">
        <f>'Grocery Purchase'!L4</f>
        <v>46023</v>
      </c>
      <c r="L4" s="20">
        <f>K4+1</f>
        <v>46024</v>
      </c>
      <c r="M4" s="20">
        <f t="shared" ref="M4:AO4" si="2">L4+1</f>
        <v>46025</v>
      </c>
      <c r="N4" s="20">
        <f t="shared" si="2"/>
        <v>46026</v>
      </c>
      <c r="O4" s="20">
        <f t="shared" si="2"/>
        <v>46027</v>
      </c>
      <c r="P4" s="20">
        <f t="shared" si="2"/>
        <v>46028</v>
      </c>
      <c r="Q4" s="20">
        <f t="shared" si="2"/>
        <v>46029</v>
      </c>
      <c r="R4" s="20">
        <f t="shared" si="2"/>
        <v>46030</v>
      </c>
      <c r="S4" s="20">
        <f t="shared" si="2"/>
        <v>46031</v>
      </c>
      <c r="T4" s="20">
        <f t="shared" si="2"/>
        <v>46032</v>
      </c>
      <c r="U4" s="20">
        <f t="shared" si="2"/>
        <v>46033</v>
      </c>
      <c r="V4" s="20">
        <f t="shared" si="2"/>
        <v>46034</v>
      </c>
      <c r="W4" s="20">
        <f t="shared" si="2"/>
        <v>46035</v>
      </c>
      <c r="X4" s="20">
        <f t="shared" si="2"/>
        <v>46036</v>
      </c>
      <c r="Y4" s="20">
        <f t="shared" si="2"/>
        <v>46037</v>
      </c>
      <c r="Z4" s="20">
        <f t="shared" si="2"/>
        <v>46038</v>
      </c>
      <c r="AA4" s="20">
        <f t="shared" si="2"/>
        <v>46039</v>
      </c>
      <c r="AB4" s="20">
        <f t="shared" si="2"/>
        <v>46040</v>
      </c>
      <c r="AC4" s="20">
        <f t="shared" si="2"/>
        <v>46041</v>
      </c>
      <c r="AD4" s="20">
        <f t="shared" si="2"/>
        <v>46042</v>
      </c>
      <c r="AE4" s="20">
        <f t="shared" si="2"/>
        <v>46043</v>
      </c>
      <c r="AF4" s="20">
        <f t="shared" si="2"/>
        <v>46044</v>
      </c>
      <c r="AG4" s="20">
        <f t="shared" si="2"/>
        <v>46045</v>
      </c>
      <c r="AH4" s="20">
        <f t="shared" si="2"/>
        <v>46046</v>
      </c>
      <c r="AI4" s="20">
        <f t="shared" si="2"/>
        <v>46047</v>
      </c>
      <c r="AJ4" s="20">
        <f t="shared" si="2"/>
        <v>46048</v>
      </c>
      <c r="AK4" s="20">
        <f t="shared" si="2"/>
        <v>46049</v>
      </c>
      <c r="AL4" s="20">
        <f t="shared" si="2"/>
        <v>46050</v>
      </c>
      <c r="AM4" s="20">
        <f t="shared" si="2"/>
        <v>46051</v>
      </c>
      <c r="AN4" s="20">
        <f t="shared" si="2"/>
        <v>46052</v>
      </c>
      <c r="AO4" s="20">
        <f t="shared" si="2"/>
        <v>46053</v>
      </c>
      <c r="AP4" s="21" t="s">
        <v>12</v>
      </c>
      <c r="AQ4" s="21" t="s">
        <v>11</v>
      </c>
      <c r="AR4" s="21" t="s">
        <v>9</v>
      </c>
      <c r="AS4" s="21" t="s">
        <v>10</v>
      </c>
      <c r="AT4" s="21" t="s">
        <v>27</v>
      </c>
      <c r="AU4" s="21" t="s">
        <v>28</v>
      </c>
      <c r="AV4" s="21" t="s">
        <v>29</v>
      </c>
      <c r="AW4" s="21" t="s">
        <v>30</v>
      </c>
      <c r="AX4" s="21" t="s">
        <v>14</v>
      </c>
    </row>
    <row r="5" spans="1:50" x14ac:dyDescent="0.25">
      <c r="A5" s="22">
        <v>1</v>
      </c>
      <c r="B5" s="22"/>
      <c r="C5" s="40"/>
      <c r="D5" s="40"/>
      <c r="E5" s="23"/>
      <c r="F5" s="24"/>
      <c r="G5" s="25"/>
      <c r="H5" s="26"/>
      <c r="I5" s="26"/>
      <c r="J5" s="26">
        <f t="shared" ref="J5:J6" si="3">I5+H5</f>
        <v>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5"/>
      <c r="AP5" s="27">
        <f t="shared" ref="AP5:AP20" si="4">SUM(K5:AO5)</f>
        <v>0</v>
      </c>
      <c r="AQ5" s="44">
        <f>J5-AP5</f>
        <v>0</v>
      </c>
      <c r="AR5" s="29">
        <f>AP5*G5</f>
        <v>0</v>
      </c>
      <c r="AS5" s="30">
        <f>AQ5*G5</f>
        <v>0</v>
      </c>
      <c r="AT5" s="30">
        <f>I5*G5</f>
        <v>0</v>
      </c>
      <c r="AU5" s="30"/>
      <c r="AV5" s="30"/>
      <c r="AW5" s="30">
        <f>AT5*SUM(AU5:AV5)%+AT5</f>
        <v>0</v>
      </c>
      <c r="AX5" s="47" t="s">
        <v>15</v>
      </c>
    </row>
    <row r="6" spans="1:50" ht="17.25" customHeight="1" x14ac:dyDescent="0.25">
      <c r="A6" s="22">
        <v>2</v>
      </c>
      <c r="B6" s="22"/>
      <c r="C6" s="40"/>
      <c r="D6" s="40"/>
      <c r="E6" s="23"/>
      <c r="F6" s="24"/>
      <c r="G6" s="25"/>
      <c r="H6" s="26"/>
      <c r="I6" s="26"/>
      <c r="J6" s="26">
        <f t="shared" si="3"/>
        <v>0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5"/>
      <c r="AP6" s="27">
        <f t="shared" si="4"/>
        <v>0</v>
      </c>
      <c r="AQ6" s="28">
        <f>J6-AP6</f>
        <v>0</v>
      </c>
      <c r="AR6" s="29">
        <f>AP6*G6</f>
        <v>0</v>
      </c>
      <c r="AS6" s="30">
        <f>AQ6*G6</f>
        <v>0</v>
      </c>
      <c r="AT6" s="30">
        <f>I6*G6</f>
        <v>0</v>
      </c>
      <c r="AU6" s="30"/>
      <c r="AV6" s="30"/>
      <c r="AW6" s="30">
        <f>AT6*SUM(AU6:AV6)%+AT6</f>
        <v>0</v>
      </c>
      <c r="AX6" s="47" t="s">
        <v>15</v>
      </c>
    </row>
    <row r="7" spans="1:50" x14ac:dyDescent="0.25">
      <c r="A7" s="22">
        <v>3</v>
      </c>
      <c r="B7" s="22"/>
      <c r="C7" s="40"/>
      <c r="D7" s="40"/>
      <c r="E7" s="23"/>
      <c r="F7" s="31"/>
      <c r="G7" s="25"/>
      <c r="H7" s="26"/>
      <c r="I7" s="26"/>
      <c r="J7" s="26">
        <f>I7+H7</f>
        <v>0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5"/>
      <c r="AP7" s="27">
        <f t="shared" si="4"/>
        <v>0</v>
      </c>
      <c r="AQ7" s="28">
        <f t="shared" ref="AQ7:AQ20" si="5">J7-AP7</f>
        <v>0</v>
      </c>
      <c r="AR7" s="29">
        <f>AP7*G7</f>
        <v>0</v>
      </c>
      <c r="AS7" s="30">
        <f t="shared" ref="AS7:AS14" si="6">AQ7*G7</f>
        <v>0</v>
      </c>
      <c r="AT7" s="30">
        <f t="shared" ref="AT7:AT14" si="7">I7*G7</f>
        <v>0</v>
      </c>
      <c r="AU7" s="30"/>
      <c r="AV7" s="30"/>
      <c r="AW7" s="30">
        <f t="shared" ref="AW7:AW20" si="8">AT7*SUM(AU7:AV7)%+AT7</f>
        <v>0</v>
      </c>
      <c r="AX7" s="47" t="s">
        <v>15</v>
      </c>
    </row>
    <row r="8" spans="1:50" s="5" customFormat="1" x14ac:dyDescent="0.25">
      <c r="A8" s="22">
        <v>4</v>
      </c>
      <c r="B8" s="22"/>
      <c r="C8" s="40"/>
      <c r="D8" s="40"/>
      <c r="E8" s="23"/>
      <c r="F8" s="31"/>
      <c r="G8" s="25"/>
      <c r="H8" s="26"/>
      <c r="I8" s="26"/>
      <c r="J8" s="26">
        <f>I8+H8</f>
        <v>0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5"/>
      <c r="AP8" s="27">
        <f t="shared" si="4"/>
        <v>0</v>
      </c>
      <c r="AQ8" s="28">
        <f t="shared" si="5"/>
        <v>0</v>
      </c>
      <c r="AR8" s="29">
        <f>AP8*G8</f>
        <v>0</v>
      </c>
      <c r="AS8" s="30">
        <f t="shared" si="6"/>
        <v>0</v>
      </c>
      <c r="AT8" s="30">
        <f t="shared" si="7"/>
        <v>0</v>
      </c>
      <c r="AU8" s="30"/>
      <c r="AV8" s="30"/>
      <c r="AW8" s="30">
        <f t="shared" si="8"/>
        <v>0</v>
      </c>
      <c r="AX8" s="47" t="s">
        <v>15</v>
      </c>
    </row>
    <row r="9" spans="1:50" s="5" customFormat="1" x14ac:dyDescent="0.25">
      <c r="A9" s="22">
        <v>5</v>
      </c>
      <c r="B9" s="22"/>
      <c r="C9" s="40"/>
      <c r="D9" s="40"/>
      <c r="E9" s="23"/>
      <c r="F9" s="31"/>
      <c r="G9" s="25"/>
      <c r="H9" s="26"/>
      <c r="I9" s="26"/>
      <c r="J9" s="26">
        <f t="shared" ref="J9:J20" si="9">I9+H9</f>
        <v>0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5"/>
      <c r="AP9" s="27">
        <f t="shared" si="4"/>
        <v>0</v>
      </c>
      <c r="AQ9" s="28">
        <f t="shared" si="5"/>
        <v>0</v>
      </c>
      <c r="AR9" s="29">
        <f t="shared" ref="AR9:AR14" si="10">AP9*G9</f>
        <v>0</v>
      </c>
      <c r="AS9" s="30">
        <f t="shared" si="6"/>
        <v>0</v>
      </c>
      <c r="AT9" s="30">
        <f t="shared" si="7"/>
        <v>0</v>
      </c>
      <c r="AU9" s="30"/>
      <c r="AV9" s="30"/>
      <c r="AW9" s="30">
        <f t="shared" si="8"/>
        <v>0</v>
      </c>
      <c r="AX9" s="47" t="s">
        <v>15</v>
      </c>
    </row>
    <row r="10" spans="1:50" s="5" customFormat="1" x14ac:dyDescent="0.25">
      <c r="A10" s="22">
        <v>6</v>
      </c>
      <c r="B10" s="22"/>
      <c r="C10" s="40"/>
      <c r="D10" s="40"/>
      <c r="E10" s="23"/>
      <c r="F10" s="31"/>
      <c r="G10" s="25"/>
      <c r="H10" s="26"/>
      <c r="I10" s="26"/>
      <c r="J10" s="26">
        <f t="shared" si="9"/>
        <v>0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5"/>
      <c r="AP10" s="27">
        <f t="shared" si="4"/>
        <v>0</v>
      </c>
      <c r="AQ10" s="28">
        <f t="shared" si="5"/>
        <v>0</v>
      </c>
      <c r="AR10" s="29">
        <f t="shared" si="10"/>
        <v>0</v>
      </c>
      <c r="AS10" s="30">
        <f t="shared" si="6"/>
        <v>0</v>
      </c>
      <c r="AT10" s="30">
        <f t="shared" si="7"/>
        <v>0</v>
      </c>
      <c r="AU10" s="30"/>
      <c r="AV10" s="30"/>
      <c r="AW10" s="30">
        <f t="shared" si="8"/>
        <v>0</v>
      </c>
      <c r="AX10" s="47" t="s">
        <v>15</v>
      </c>
    </row>
    <row r="11" spans="1:50" s="5" customFormat="1" x14ac:dyDescent="0.25">
      <c r="A11" s="22">
        <v>7</v>
      </c>
      <c r="B11" s="22"/>
      <c r="C11" s="40"/>
      <c r="D11" s="40"/>
      <c r="E11" s="23"/>
      <c r="F11" s="31"/>
      <c r="G11" s="25"/>
      <c r="H11" s="26"/>
      <c r="I11" s="26"/>
      <c r="J11" s="26">
        <f t="shared" si="9"/>
        <v>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5"/>
      <c r="AP11" s="27">
        <f t="shared" si="4"/>
        <v>0</v>
      </c>
      <c r="AQ11" s="28">
        <f t="shared" si="5"/>
        <v>0</v>
      </c>
      <c r="AR11" s="29">
        <f t="shared" si="10"/>
        <v>0</v>
      </c>
      <c r="AS11" s="30">
        <f t="shared" si="6"/>
        <v>0</v>
      </c>
      <c r="AT11" s="30">
        <f t="shared" si="7"/>
        <v>0</v>
      </c>
      <c r="AU11" s="30"/>
      <c r="AV11" s="30"/>
      <c r="AW11" s="30">
        <f t="shared" si="8"/>
        <v>0</v>
      </c>
      <c r="AX11" s="47" t="s">
        <v>15</v>
      </c>
    </row>
    <row r="12" spans="1:50" s="5" customFormat="1" x14ac:dyDescent="0.25">
      <c r="A12" s="22">
        <v>8</v>
      </c>
      <c r="B12" s="22"/>
      <c r="C12" s="40"/>
      <c r="D12" s="40"/>
      <c r="E12" s="23"/>
      <c r="F12" s="31"/>
      <c r="G12" s="25"/>
      <c r="H12" s="26"/>
      <c r="I12" s="26"/>
      <c r="J12" s="26">
        <f t="shared" si="9"/>
        <v>0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5"/>
      <c r="AP12" s="27">
        <f t="shared" si="4"/>
        <v>0</v>
      </c>
      <c r="AQ12" s="28">
        <f t="shared" si="5"/>
        <v>0</v>
      </c>
      <c r="AR12" s="29">
        <f t="shared" si="10"/>
        <v>0</v>
      </c>
      <c r="AS12" s="30">
        <f t="shared" si="6"/>
        <v>0</v>
      </c>
      <c r="AT12" s="30">
        <f t="shared" si="7"/>
        <v>0</v>
      </c>
      <c r="AU12" s="30"/>
      <c r="AV12" s="30"/>
      <c r="AW12" s="30">
        <f t="shared" si="8"/>
        <v>0</v>
      </c>
      <c r="AX12" s="47" t="s">
        <v>15</v>
      </c>
    </row>
    <row r="13" spans="1:50" s="5" customFormat="1" x14ac:dyDescent="0.25">
      <c r="A13" s="22">
        <v>9</v>
      </c>
      <c r="B13" s="22"/>
      <c r="C13" s="40"/>
      <c r="D13" s="40"/>
      <c r="E13" s="23"/>
      <c r="F13" s="31"/>
      <c r="G13" s="25"/>
      <c r="H13" s="26"/>
      <c r="I13" s="26"/>
      <c r="J13" s="26">
        <f t="shared" si="9"/>
        <v>0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5"/>
      <c r="AP13" s="27">
        <f t="shared" si="4"/>
        <v>0</v>
      </c>
      <c r="AQ13" s="28">
        <f t="shared" si="5"/>
        <v>0</v>
      </c>
      <c r="AR13" s="29">
        <f t="shared" si="10"/>
        <v>0</v>
      </c>
      <c r="AS13" s="30">
        <f t="shared" si="6"/>
        <v>0</v>
      </c>
      <c r="AT13" s="30">
        <f t="shared" si="7"/>
        <v>0</v>
      </c>
      <c r="AU13" s="30"/>
      <c r="AV13" s="30"/>
      <c r="AW13" s="30">
        <f t="shared" si="8"/>
        <v>0</v>
      </c>
      <c r="AX13" s="47" t="s">
        <v>15</v>
      </c>
    </row>
    <row r="14" spans="1:50" s="5" customFormat="1" x14ac:dyDescent="0.25">
      <c r="A14" s="22">
        <v>10</v>
      </c>
      <c r="B14" s="22"/>
      <c r="C14" s="40"/>
      <c r="D14" s="40"/>
      <c r="E14" s="23"/>
      <c r="F14" s="31"/>
      <c r="G14" s="25"/>
      <c r="H14" s="26"/>
      <c r="I14" s="26"/>
      <c r="J14" s="26">
        <f t="shared" si="9"/>
        <v>0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5"/>
      <c r="AP14" s="27">
        <f t="shared" si="4"/>
        <v>0</v>
      </c>
      <c r="AQ14" s="28">
        <f t="shared" si="5"/>
        <v>0</v>
      </c>
      <c r="AR14" s="29">
        <f t="shared" si="10"/>
        <v>0</v>
      </c>
      <c r="AS14" s="30">
        <f t="shared" si="6"/>
        <v>0</v>
      </c>
      <c r="AT14" s="30">
        <f t="shared" si="7"/>
        <v>0</v>
      </c>
      <c r="AU14" s="30"/>
      <c r="AV14" s="30"/>
      <c r="AW14" s="30">
        <f t="shared" si="8"/>
        <v>0</v>
      </c>
      <c r="AX14" s="47" t="s">
        <v>15</v>
      </c>
    </row>
    <row r="15" spans="1:50" s="5" customFormat="1" x14ac:dyDescent="0.25">
      <c r="A15" s="22">
        <v>13</v>
      </c>
      <c r="B15" s="22"/>
      <c r="C15" s="40"/>
      <c r="D15" s="40"/>
      <c r="E15" s="23"/>
      <c r="F15" s="31"/>
      <c r="G15" s="25"/>
      <c r="H15" s="26"/>
      <c r="I15" s="26"/>
      <c r="J15" s="26">
        <f t="shared" si="9"/>
        <v>0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5"/>
      <c r="AP15" s="27">
        <f t="shared" si="4"/>
        <v>0</v>
      </c>
      <c r="AQ15" s="28">
        <f t="shared" si="5"/>
        <v>0</v>
      </c>
      <c r="AR15" s="29">
        <f t="shared" ref="AR15:AR20" si="11">AP15*G15</f>
        <v>0</v>
      </c>
      <c r="AS15" s="30">
        <f t="shared" ref="AS15:AS20" si="12">AQ15*G15</f>
        <v>0</v>
      </c>
      <c r="AT15" s="30">
        <f t="shared" ref="AT15:AT20" si="13">I15*G15</f>
        <v>0</v>
      </c>
      <c r="AU15" s="30"/>
      <c r="AV15" s="30"/>
      <c r="AW15" s="30">
        <f t="shared" si="8"/>
        <v>0</v>
      </c>
      <c r="AX15" s="47" t="s">
        <v>15</v>
      </c>
    </row>
    <row r="16" spans="1:50" s="5" customFormat="1" x14ac:dyDescent="0.25">
      <c r="A16" s="22">
        <v>14</v>
      </c>
      <c r="B16" s="22"/>
      <c r="C16" s="40"/>
      <c r="D16" s="40"/>
      <c r="E16" s="23"/>
      <c r="F16" s="31"/>
      <c r="G16" s="25"/>
      <c r="H16" s="26"/>
      <c r="I16" s="26"/>
      <c r="J16" s="26">
        <f t="shared" si="9"/>
        <v>0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5"/>
      <c r="AP16" s="27">
        <f t="shared" si="4"/>
        <v>0</v>
      </c>
      <c r="AQ16" s="28">
        <f t="shared" si="5"/>
        <v>0</v>
      </c>
      <c r="AR16" s="29">
        <f t="shared" si="11"/>
        <v>0</v>
      </c>
      <c r="AS16" s="30">
        <f t="shared" si="12"/>
        <v>0</v>
      </c>
      <c r="AT16" s="30">
        <f t="shared" si="13"/>
        <v>0</v>
      </c>
      <c r="AU16" s="30"/>
      <c r="AV16" s="30"/>
      <c r="AW16" s="30">
        <f t="shared" si="8"/>
        <v>0</v>
      </c>
      <c r="AX16" s="47" t="s">
        <v>15</v>
      </c>
    </row>
    <row r="17" spans="1:50" s="5" customFormat="1" x14ac:dyDescent="0.25">
      <c r="A17" s="22">
        <v>15</v>
      </c>
      <c r="B17" s="22"/>
      <c r="C17" s="40"/>
      <c r="D17" s="40"/>
      <c r="E17" s="23"/>
      <c r="F17" s="31"/>
      <c r="G17" s="25"/>
      <c r="H17" s="26"/>
      <c r="I17" s="26"/>
      <c r="J17" s="26">
        <f t="shared" si="9"/>
        <v>0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5"/>
      <c r="AP17" s="27">
        <f t="shared" si="4"/>
        <v>0</v>
      </c>
      <c r="AQ17" s="28">
        <f t="shared" si="5"/>
        <v>0</v>
      </c>
      <c r="AR17" s="29">
        <f t="shared" si="11"/>
        <v>0</v>
      </c>
      <c r="AS17" s="30">
        <f t="shared" si="12"/>
        <v>0</v>
      </c>
      <c r="AT17" s="30">
        <f t="shared" si="13"/>
        <v>0</v>
      </c>
      <c r="AU17" s="30"/>
      <c r="AV17" s="30"/>
      <c r="AW17" s="30">
        <f t="shared" si="8"/>
        <v>0</v>
      </c>
      <c r="AX17" s="47" t="s">
        <v>15</v>
      </c>
    </row>
    <row r="18" spans="1:50" s="5" customFormat="1" x14ac:dyDescent="0.25">
      <c r="A18" s="22">
        <v>17</v>
      </c>
      <c r="B18" s="22"/>
      <c r="C18" s="40"/>
      <c r="D18" s="40"/>
      <c r="E18" s="23"/>
      <c r="F18" s="31"/>
      <c r="G18" s="25"/>
      <c r="H18" s="26"/>
      <c r="I18" s="26"/>
      <c r="J18" s="26">
        <f t="shared" si="9"/>
        <v>0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5"/>
      <c r="AP18" s="27">
        <f t="shared" si="4"/>
        <v>0</v>
      </c>
      <c r="AQ18" s="28">
        <f t="shared" si="5"/>
        <v>0</v>
      </c>
      <c r="AR18" s="29">
        <f t="shared" si="11"/>
        <v>0</v>
      </c>
      <c r="AS18" s="30">
        <f t="shared" si="12"/>
        <v>0</v>
      </c>
      <c r="AT18" s="30">
        <f t="shared" si="13"/>
        <v>0</v>
      </c>
      <c r="AU18" s="30"/>
      <c r="AV18" s="30"/>
      <c r="AW18" s="30">
        <f t="shared" si="8"/>
        <v>0</v>
      </c>
      <c r="AX18" s="47" t="s">
        <v>15</v>
      </c>
    </row>
    <row r="19" spans="1:50" s="5" customFormat="1" x14ac:dyDescent="0.25">
      <c r="A19" s="22">
        <v>18</v>
      </c>
      <c r="B19" s="22"/>
      <c r="C19" s="40"/>
      <c r="D19" s="40"/>
      <c r="E19" s="23"/>
      <c r="F19" s="31"/>
      <c r="G19" s="25"/>
      <c r="H19" s="26"/>
      <c r="I19" s="26"/>
      <c r="J19" s="26">
        <f t="shared" si="9"/>
        <v>0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5"/>
      <c r="AP19" s="27">
        <f t="shared" si="4"/>
        <v>0</v>
      </c>
      <c r="AQ19" s="28">
        <f t="shared" si="5"/>
        <v>0</v>
      </c>
      <c r="AR19" s="29">
        <f t="shared" si="11"/>
        <v>0</v>
      </c>
      <c r="AS19" s="30">
        <f t="shared" si="12"/>
        <v>0</v>
      </c>
      <c r="AT19" s="30">
        <f t="shared" si="13"/>
        <v>0</v>
      </c>
      <c r="AU19" s="30"/>
      <c r="AV19" s="30"/>
      <c r="AW19" s="30">
        <f t="shared" si="8"/>
        <v>0</v>
      </c>
      <c r="AX19" s="47" t="s">
        <v>15</v>
      </c>
    </row>
    <row r="20" spans="1:50" s="5" customFormat="1" x14ac:dyDescent="0.25">
      <c r="A20" s="22">
        <v>19</v>
      </c>
      <c r="B20" s="22"/>
      <c r="C20" s="40"/>
      <c r="D20" s="40"/>
      <c r="E20" s="23"/>
      <c r="F20" s="31"/>
      <c r="G20" s="25"/>
      <c r="H20" s="26"/>
      <c r="I20" s="26"/>
      <c r="J20" s="26">
        <f t="shared" si="9"/>
        <v>0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5"/>
      <c r="AP20" s="27">
        <f t="shared" si="4"/>
        <v>0</v>
      </c>
      <c r="AQ20" s="28">
        <f t="shared" si="5"/>
        <v>0</v>
      </c>
      <c r="AR20" s="29">
        <f t="shared" si="11"/>
        <v>0</v>
      </c>
      <c r="AS20" s="30">
        <f t="shared" si="12"/>
        <v>0</v>
      </c>
      <c r="AT20" s="30">
        <f t="shared" si="13"/>
        <v>0</v>
      </c>
      <c r="AU20" s="30"/>
      <c r="AV20" s="30"/>
      <c r="AW20" s="30">
        <f t="shared" si="8"/>
        <v>0</v>
      </c>
      <c r="AX20" s="47" t="s">
        <v>15</v>
      </c>
    </row>
    <row r="21" spans="1:50" s="5" customFormat="1" ht="12.75" x14ac:dyDescent="0.2">
      <c r="A21" s="22"/>
      <c r="B21" s="39"/>
      <c r="C21" s="39"/>
      <c r="D21" s="39"/>
      <c r="E21" s="80" t="s">
        <v>7</v>
      </c>
      <c r="F21" s="81"/>
      <c r="G21" s="82"/>
      <c r="H21" s="49">
        <f t="shared" ref="H21:AN21" si="14">SUM(H5:H20)</f>
        <v>0</v>
      </c>
      <c r="I21" s="49">
        <f t="shared" si="14"/>
        <v>0</v>
      </c>
      <c r="J21" s="49">
        <f t="shared" si="14"/>
        <v>0</v>
      </c>
      <c r="K21" s="49">
        <f t="shared" si="14"/>
        <v>0</v>
      </c>
      <c r="L21" s="49">
        <f t="shared" si="14"/>
        <v>0</v>
      </c>
      <c r="M21" s="49">
        <f t="shared" si="14"/>
        <v>0</v>
      </c>
      <c r="N21" s="49">
        <f t="shared" si="14"/>
        <v>0</v>
      </c>
      <c r="O21" s="49">
        <f t="shared" si="14"/>
        <v>0</v>
      </c>
      <c r="P21" s="49">
        <f t="shared" si="14"/>
        <v>0</v>
      </c>
      <c r="Q21" s="49">
        <f t="shared" si="14"/>
        <v>0</v>
      </c>
      <c r="R21" s="49">
        <f t="shared" si="14"/>
        <v>0</v>
      </c>
      <c r="S21" s="49">
        <f t="shared" si="14"/>
        <v>0</v>
      </c>
      <c r="T21" s="49">
        <f t="shared" si="14"/>
        <v>0</v>
      </c>
      <c r="U21" s="49">
        <f t="shared" si="14"/>
        <v>0</v>
      </c>
      <c r="V21" s="49">
        <f t="shared" si="14"/>
        <v>0</v>
      </c>
      <c r="W21" s="49">
        <f t="shared" si="14"/>
        <v>0</v>
      </c>
      <c r="X21" s="49">
        <f t="shared" si="14"/>
        <v>0</v>
      </c>
      <c r="Y21" s="49">
        <f t="shared" si="14"/>
        <v>0</v>
      </c>
      <c r="Z21" s="49">
        <f t="shared" si="14"/>
        <v>0</v>
      </c>
      <c r="AA21" s="49">
        <f t="shared" si="14"/>
        <v>0</v>
      </c>
      <c r="AB21" s="49">
        <f t="shared" si="14"/>
        <v>0</v>
      </c>
      <c r="AC21" s="49">
        <f t="shared" si="14"/>
        <v>0</v>
      </c>
      <c r="AD21" s="49">
        <f t="shared" si="14"/>
        <v>0</v>
      </c>
      <c r="AE21" s="49">
        <f t="shared" si="14"/>
        <v>0</v>
      </c>
      <c r="AF21" s="49">
        <f t="shared" si="14"/>
        <v>0</v>
      </c>
      <c r="AG21" s="49">
        <f t="shared" si="14"/>
        <v>0</v>
      </c>
      <c r="AH21" s="49">
        <f t="shared" si="14"/>
        <v>0</v>
      </c>
      <c r="AI21" s="49">
        <f t="shared" si="14"/>
        <v>0</v>
      </c>
      <c r="AJ21" s="49">
        <f t="shared" si="14"/>
        <v>0</v>
      </c>
      <c r="AK21" s="49">
        <f t="shared" si="14"/>
        <v>0</v>
      </c>
      <c r="AL21" s="49">
        <f t="shared" si="14"/>
        <v>0</v>
      </c>
      <c r="AM21" s="49">
        <f t="shared" si="14"/>
        <v>0</v>
      </c>
      <c r="AN21" s="49">
        <f t="shared" si="14"/>
        <v>0</v>
      </c>
      <c r="AO21" s="46"/>
      <c r="AP21" s="49">
        <f>SUM(AP5:AP20)</f>
        <v>0</v>
      </c>
      <c r="AQ21" s="49">
        <f>SUM(AQ5:AQ20)</f>
        <v>0</v>
      </c>
      <c r="AR21" s="49">
        <f>SUM(AR5:AR20)</f>
        <v>0</v>
      </c>
      <c r="AS21" s="49">
        <f>SUM(AS5:AS20)</f>
        <v>0</v>
      </c>
      <c r="AT21" s="49">
        <f>SUM(AT5:AT20)</f>
        <v>0</v>
      </c>
      <c r="AU21" s="33"/>
      <c r="AV21" s="33"/>
      <c r="AW21" s="33"/>
      <c r="AX21" s="33"/>
    </row>
    <row r="22" spans="1:50" s="5" customFormat="1" ht="11.25" x14ac:dyDescent="0.2">
      <c r="E22" s="34"/>
      <c r="F22" s="34"/>
      <c r="G22" s="35"/>
      <c r="H22" s="36"/>
      <c r="I22" s="35"/>
      <c r="AL22" s="37"/>
      <c r="AQ22" s="35"/>
    </row>
    <row r="23" spans="1:50" s="5" customFormat="1" ht="11.25" x14ac:dyDescent="0.2">
      <c r="E23" s="34"/>
      <c r="F23" s="34"/>
      <c r="G23" s="35"/>
      <c r="H23" s="36"/>
      <c r="I23" s="35"/>
      <c r="AL23" s="37"/>
      <c r="AQ23" s="35"/>
    </row>
    <row r="24" spans="1:50" s="5" customFormat="1" ht="11.25" x14ac:dyDescent="0.2">
      <c r="E24" s="34"/>
      <c r="F24" s="34"/>
      <c r="G24" s="35"/>
      <c r="H24" s="36"/>
      <c r="I24" s="35"/>
      <c r="AL24" s="37"/>
      <c r="AQ24" s="35"/>
    </row>
  </sheetData>
  <mergeCells count="2">
    <mergeCell ref="A1:V1"/>
    <mergeCell ref="E21:G21"/>
  </mergeCells>
  <conditionalFormatting sqref="A3:I3">
    <cfRule type="containsText" dxfId="7" priority="1" operator="containsText" text="sat"/>
    <cfRule type="containsText" dxfId="6" priority="2" operator="containsText" text="sun"/>
  </conditionalFormatting>
  <conditionalFormatting sqref="E5:E6">
    <cfRule type="duplicateValues" priority="26"/>
    <cfRule type="duplicateValues" priority="25"/>
    <cfRule type="duplicateValues" priority="24"/>
    <cfRule type="duplicateValues" priority="23"/>
  </conditionalFormatting>
  <conditionalFormatting sqref="E7">
    <cfRule type="duplicateValues" priority="30"/>
    <cfRule type="duplicateValues" priority="29"/>
    <cfRule type="duplicateValues" priority="28"/>
    <cfRule type="duplicateValues" priority="27"/>
  </conditionalFormatting>
  <conditionalFormatting sqref="E8:E13">
    <cfRule type="duplicateValues" priority="31"/>
    <cfRule type="duplicateValues" priority="32"/>
    <cfRule type="duplicateValues" priority="33"/>
    <cfRule type="duplicateValues" priority="34"/>
  </conditionalFormatting>
  <conditionalFormatting sqref="E14">
    <cfRule type="duplicateValues" priority="20"/>
    <cfRule type="duplicateValues" priority="21"/>
    <cfRule type="duplicateValues" priority="22"/>
    <cfRule type="duplicateValues" priority="19"/>
  </conditionalFormatting>
  <conditionalFormatting sqref="E15">
    <cfRule type="duplicateValues" priority="18"/>
    <cfRule type="duplicateValues" priority="15"/>
    <cfRule type="duplicateValues" priority="16"/>
    <cfRule type="duplicateValues" priority="17"/>
  </conditionalFormatting>
  <conditionalFormatting sqref="E16">
    <cfRule type="duplicateValues" priority="11"/>
    <cfRule type="duplicateValues" priority="12"/>
    <cfRule type="duplicateValues" priority="13"/>
    <cfRule type="duplicateValues" priority="14"/>
  </conditionalFormatting>
  <conditionalFormatting sqref="E17">
    <cfRule type="duplicateValues" priority="8"/>
    <cfRule type="duplicateValues" priority="7"/>
    <cfRule type="duplicateValues" priority="10"/>
    <cfRule type="duplicateValues" priority="9"/>
  </conditionalFormatting>
  <conditionalFormatting sqref="E18">
    <cfRule type="duplicateValues" priority="5"/>
    <cfRule type="duplicateValues" priority="4"/>
    <cfRule type="duplicateValues" priority="3"/>
    <cfRule type="duplicateValues" priority="6"/>
  </conditionalFormatting>
  <conditionalFormatting sqref="E19">
    <cfRule type="duplicateValues" priority="63"/>
    <cfRule type="duplicateValues" priority="64"/>
    <cfRule type="duplicateValues" priority="65"/>
    <cfRule type="duplicateValues" priority="66"/>
  </conditionalFormatting>
  <conditionalFormatting sqref="E20">
    <cfRule type="duplicateValues" priority="59"/>
    <cfRule type="duplicateValues" priority="60"/>
    <cfRule type="duplicateValues" priority="61"/>
    <cfRule type="duplicateValues" priority="62"/>
  </conditionalFormatting>
  <conditionalFormatting sqref="K3:AO3">
    <cfRule type="containsText" dxfId="5" priority="183" operator="containsText" text="sat"/>
    <cfRule type="containsText" dxfId="4" priority="184" operator="containsText" text="sun"/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F26"/>
  <sheetViews>
    <sheetView showGridLines="0" zoomScaleNormal="100" workbookViewId="0">
      <pane xSplit="10" ySplit="4" topLeftCell="AJ5" activePane="bottomRight" state="frozen"/>
      <selection pane="topRight" activeCell="K1" sqref="K1"/>
      <selection pane="bottomLeft" activeCell="A5" sqref="A5"/>
      <selection pane="bottomRight" activeCell="D14" sqref="D14"/>
    </sheetView>
  </sheetViews>
  <sheetFormatPr defaultColWidth="9.140625" defaultRowHeight="15" x14ac:dyDescent="0.25"/>
  <cols>
    <col min="1" max="1" width="6.140625" style="5" bestFit="1" customWidth="1"/>
    <col min="2" max="2" width="16.85546875" style="5" bestFit="1" customWidth="1"/>
    <col min="3" max="3" width="16.140625" style="5" bestFit="1" customWidth="1"/>
    <col min="4" max="4" width="13" style="5" customWidth="1"/>
    <col min="5" max="5" width="15.42578125" style="34" customWidth="1"/>
    <col min="6" max="6" width="11.85546875" style="34" customWidth="1"/>
    <col min="7" max="7" width="10.28515625" style="35" customWidth="1"/>
    <col min="8" max="8" width="7.5703125" style="36" bestFit="1" customWidth="1"/>
    <col min="9" max="9" width="5.7109375" style="35" bestFit="1" customWidth="1"/>
    <col min="10" max="10" width="5.140625" style="5" bestFit="1" customWidth="1"/>
    <col min="11" max="37" width="3.28515625" style="5" bestFit="1" customWidth="1"/>
    <col min="38" max="38" width="3.28515625" style="37" bestFit="1" customWidth="1"/>
    <col min="39" max="41" width="3.28515625" style="5" bestFit="1" customWidth="1"/>
    <col min="42" max="42" width="5.5703125" style="5" bestFit="1" customWidth="1"/>
    <col min="43" max="43" width="6.42578125" style="35" bestFit="1" customWidth="1"/>
    <col min="44" max="46" width="7.42578125" style="5" bestFit="1" customWidth="1"/>
    <col min="47" max="47" width="4.85546875" style="5" bestFit="1" customWidth="1"/>
    <col min="48" max="48" width="4.7109375" style="5" bestFit="1" customWidth="1"/>
    <col min="49" max="49" width="8.140625" style="5" bestFit="1" customWidth="1"/>
    <col min="50" max="50" width="8.85546875" style="5" bestFit="1" customWidth="1"/>
    <col min="51" max="1020" width="9.140625" style="5"/>
    <col min="1021" max="16384" width="9.140625" style="38"/>
  </cols>
  <sheetData>
    <row r="1" spans="1:50" ht="23.25" thickBot="1" x14ac:dyDescent="0.3">
      <c r="A1" s="73" t="str">
        <f>"GuestVilla Hukka Consu. of "&amp; TEXT(K4," MMM YY")</f>
        <v>GuestVilla Hukka Consu. of  Jan 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4"/>
      <c r="AQ1" s="1"/>
      <c r="AR1" s="1"/>
    </row>
    <row r="2" spans="1:50" x14ac:dyDescent="0.25">
      <c r="A2" s="1"/>
      <c r="B2" s="1"/>
      <c r="C2" s="1"/>
      <c r="D2" s="1"/>
      <c r="E2" s="6"/>
      <c r="F2" s="6"/>
      <c r="G2" s="6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9"/>
      <c r="AM2" s="1"/>
      <c r="AN2" s="1"/>
      <c r="AO2" s="1"/>
      <c r="AP2" s="1"/>
      <c r="AQ2" s="1"/>
      <c r="AR2" s="1"/>
    </row>
    <row r="3" spans="1:50" ht="25.5" x14ac:dyDescent="0.25">
      <c r="A3" s="10"/>
      <c r="B3" s="10"/>
      <c r="C3" s="10" t="s">
        <v>44</v>
      </c>
      <c r="D3" s="10"/>
      <c r="E3" s="11"/>
      <c r="F3" s="11"/>
      <c r="G3" s="11"/>
      <c r="H3" s="12"/>
      <c r="I3" s="13"/>
      <c r="J3" s="43" t="s">
        <v>31</v>
      </c>
      <c r="K3" s="14" t="str">
        <f>TEXT(K4,"ddd")</f>
        <v>Thu</v>
      </c>
      <c r="L3" s="14" t="str">
        <f t="shared" ref="L3:AD3" si="0">TEXT(L4,"ddd")</f>
        <v>Fri</v>
      </c>
      <c r="M3" s="14" t="str">
        <f t="shared" si="0"/>
        <v>Sat</v>
      </c>
      <c r="N3" s="14" t="str">
        <f t="shared" si="0"/>
        <v>Sun</v>
      </c>
      <c r="O3" s="14" t="str">
        <f t="shared" si="0"/>
        <v>Mon</v>
      </c>
      <c r="P3" s="14" t="str">
        <f t="shared" si="0"/>
        <v>Tue</v>
      </c>
      <c r="Q3" s="14" t="str">
        <f t="shared" si="0"/>
        <v>Wed</v>
      </c>
      <c r="R3" s="14" t="str">
        <f t="shared" si="0"/>
        <v>Thu</v>
      </c>
      <c r="S3" s="14" t="str">
        <f t="shared" si="0"/>
        <v>Fri</v>
      </c>
      <c r="T3" s="14" t="str">
        <f t="shared" si="0"/>
        <v>Sat</v>
      </c>
      <c r="U3" s="14" t="str">
        <f t="shared" si="0"/>
        <v>Sun</v>
      </c>
      <c r="V3" s="14" t="str">
        <f t="shared" si="0"/>
        <v>Mon</v>
      </c>
      <c r="W3" s="14" t="str">
        <f t="shared" si="0"/>
        <v>Tue</v>
      </c>
      <c r="X3" s="14" t="str">
        <f t="shared" si="0"/>
        <v>Wed</v>
      </c>
      <c r="Y3" s="14" t="str">
        <f t="shared" si="0"/>
        <v>Thu</v>
      </c>
      <c r="Z3" s="14" t="str">
        <f t="shared" si="0"/>
        <v>Fri</v>
      </c>
      <c r="AA3" s="14" t="str">
        <f t="shared" si="0"/>
        <v>Sat</v>
      </c>
      <c r="AB3" s="14" t="str">
        <f t="shared" si="0"/>
        <v>Sun</v>
      </c>
      <c r="AC3" s="14" t="str">
        <f t="shared" si="0"/>
        <v>Mon</v>
      </c>
      <c r="AD3" s="14" t="str">
        <f t="shared" si="0"/>
        <v>Tue</v>
      </c>
      <c r="AE3" s="14" t="str">
        <f>TEXT(AE4,"ddd")</f>
        <v>Wed</v>
      </c>
      <c r="AF3" s="14" t="str">
        <f t="shared" ref="AF3:AO3" si="1">TEXT(AF4,"ddd")</f>
        <v>Thu</v>
      </c>
      <c r="AG3" s="14" t="str">
        <f t="shared" si="1"/>
        <v>Fri</v>
      </c>
      <c r="AH3" s="14" t="str">
        <f t="shared" si="1"/>
        <v>Sat</v>
      </c>
      <c r="AI3" s="14" t="str">
        <f t="shared" si="1"/>
        <v>Sun</v>
      </c>
      <c r="AJ3" s="14" t="str">
        <f t="shared" si="1"/>
        <v>Mon</v>
      </c>
      <c r="AK3" s="14" t="str">
        <f t="shared" si="1"/>
        <v>Tue</v>
      </c>
      <c r="AL3" s="14" t="str">
        <f t="shared" si="1"/>
        <v>Wed</v>
      </c>
      <c r="AM3" s="14" t="str">
        <f t="shared" si="1"/>
        <v>Thu</v>
      </c>
      <c r="AN3" s="14" t="str">
        <f t="shared" si="1"/>
        <v>Fri</v>
      </c>
      <c r="AO3" s="14" t="str">
        <f t="shared" si="1"/>
        <v>Sat</v>
      </c>
      <c r="AP3" s="43" t="s">
        <v>31</v>
      </c>
      <c r="AQ3" s="43" t="s">
        <v>31</v>
      </c>
      <c r="AR3" s="43" t="s">
        <v>31</v>
      </c>
      <c r="AS3" s="43" t="s">
        <v>31</v>
      </c>
      <c r="AT3" s="43" t="s">
        <v>31</v>
      </c>
      <c r="AW3" s="43" t="s">
        <v>31</v>
      </c>
    </row>
    <row r="4" spans="1:50" ht="39" customHeight="1" x14ac:dyDescent="0.25">
      <c r="A4" s="15" t="s">
        <v>0</v>
      </c>
      <c r="B4" s="15" t="s">
        <v>32</v>
      </c>
      <c r="C4" s="15" t="s">
        <v>13</v>
      </c>
      <c r="D4" s="15" t="s">
        <v>26</v>
      </c>
      <c r="E4" s="16" t="s">
        <v>1</v>
      </c>
      <c r="F4" s="16" t="s">
        <v>2</v>
      </c>
      <c r="G4" s="16" t="s">
        <v>3</v>
      </c>
      <c r="H4" s="17" t="s">
        <v>4</v>
      </c>
      <c r="I4" s="18" t="s">
        <v>5</v>
      </c>
      <c r="J4" s="19" t="s">
        <v>6</v>
      </c>
      <c r="K4" s="41">
        <f>'Grocery Purchase'!L4</f>
        <v>46023</v>
      </c>
      <c r="L4" s="20">
        <f>K4+1</f>
        <v>46024</v>
      </c>
      <c r="M4" s="20">
        <f t="shared" ref="M4:AO4" si="2">L4+1</f>
        <v>46025</v>
      </c>
      <c r="N4" s="20">
        <f t="shared" si="2"/>
        <v>46026</v>
      </c>
      <c r="O4" s="20">
        <f t="shared" si="2"/>
        <v>46027</v>
      </c>
      <c r="P4" s="20">
        <f t="shared" si="2"/>
        <v>46028</v>
      </c>
      <c r="Q4" s="20">
        <f t="shared" si="2"/>
        <v>46029</v>
      </c>
      <c r="R4" s="20">
        <f t="shared" si="2"/>
        <v>46030</v>
      </c>
      <c r="S4" s="20">
        <f t="shared" si="2"/>
        <v>46031</v>
      </c>
      <c r="T4" s="20">
        <f t="shared" si="2"/>
        <v>46032</v>
      </c>
      <c r="U4" s="20">
        <f t="shared" si="2"/>
        <v>46033</v>
      </c>
      <c r="V4" s="20">
        <f t="shared" si="2"/>
        <v>46034</v>
      </c>
      <c r="W4" s="20">
        <f t="shared" si="2"/>
        <v>46035</v>
      </c>
      <c r="X4" s="20">
        <f t="shared" si="2"/>
        <v>46036</v>
      </c>
      <c r="Y4" s="20">
        <f t="shared" si="2"/>
        <v>46037</v>
      </c>
      <c r="Z4" s="20">
        <f t="shared" si="2"/>
        <v>46038</v>
      </c>
      <c r="AA4" s="20">
        <f t="shared" si="2"/>
        <v>46039</v>
      </c>
      <c r="AB4" s="20">
        <f t="shared" si="2"/>
        <v>46040</v>
      </c>
      <c r="AC4" s="20">
        <f t="shared" si="2"/>
        <v>46041</v>
      </c>
      <c r="AD4" s="20">
        <f t="shared" si="2"/>
        <v>46042</v>
      </c>
      <c r="AE4" s="20">
        <f t="shared" si="2"/>
        <v>46043</v>
      </c>
      <c r="AF4" s="20">
        <f t="shared" si="2"/>
        <v>46044</v>
      </c>
      <c r="AG4" s="20">
        <f t="shared" si="2"/>
        <v>46045</v>
      </c>
      <c r="AH4" s="20">
        <f t="shared" si="2"/>
        <v>46046</v>
      </c>
      <c r="AI4" s="20">
        <f t="shared" si="2"/>
        <v>46047</v>
      </c>
      <c r="AJ4" s="20">
        <f t="shared" si="2"/>
        <v>46048</v>
      </c>
      <c r="AK4" s="20">
        <f t="shared" si="2"/>
        <v>46049</v>
      </c>
      <c r="AL4" s="20">
        <f t="shared" si="2"/>
        <v>46050</v>
      </c>
      <c r="AM4" s="20">
        <f t="shared" si="2"/>
        <v>46051</v>
      </c>
      <c r="AN4" s="20">
        <f t="shared" si="2"/>
        <v>46052</v>
      </c>
      <c r="AO4" s="20">
        <f t="shared" si="2"/>
        <v>46053</v>
      </c>
      <c r="AP4" s="21" t="s">
        <v>12</v>
      </c>
      <c r="AQ4" s="21" t="s">
        <v>11</v>
      </c>
      <c r="AR4" s="21" t="s">
        <v>9</v>
      </c>
      <c r="AS4" s="21" t="s">
        <v>10</v>
      </c>
      <c r="AT4" s="21" t="s">
        <v>27</v>
      </c>
      <c r="AU4" s="21" t="s">
        <v>28</v>
      </c>
      <c r="AV4" s="21" t="s">
        <v>29</v>
      </c>
      <c r="AW4" s="21" t="s">
        <v>30</v>
      </c>
      <c r="AX4" s="21" t="s">
        <v>14</v>
      </c>
    </row>
    <row r="5" spans="1:50" ht="17.25" customHeight="1" x14ac:dyDescent="0.25">
      <c r="A5" s="22">
        <v>1</v>
      </c>
      <c r="B5" s="22"/>
      <c r="C5" s="40"/>
      <c r="D5" s="40"/>
      <c r="E5" s="23"/>
      <c r="F5" s="31"/>
      <c r="G5" s="25"/>
      <c r="H5" s="28"/>
      <c r="I5" s="26"/>
      <c r="J5" s="26">
        <f>I5+H5</f>
        <v>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27">
        <f t="shared" ref="AP5:AP25" si="3">SUM(K5:AO5)</f>
        <v>0</v>
      </c>
      <c r="AQ5" s="28">
        <f>J5-AP5</f>
        <v>0</v>
      </c>
      <c r="AR5" s="29">
        <f>AP5*G5</f>
        <v>0</v>
      </c>
      <c r="AS5" s="30">
        <f>AQ5*G5</f>
        <v>0</v>
      </c>
      <c r="AT5" s="30">
        <f>I5*G5</f>
        <v>0</v>
      </c>
      <c r="AU5" s="30"/>
      <c r="AV5" s="30"/>
      <c r="AW5" s="30">
        <f>AT5*SUM(AU5:AV5)%+AT5</f>
        <v>0</v>
      </c>
      <c r="AX5" s="47" t="s">
        <v>15</v>
      </c>
    </row>
    <row r="6" spans="1:50" x14ac:dyDescent="0.25">
      <c r="A6" s="22">
        <v>2</v>
      </c>
      <c r="B6" s="22"/>
      <c r="C6" s="40"/>
      <c r="D6" s="40"/>
      <c r="E6" s="23"/>
      <c r="F6" s="31"/>
      <c r="G6" s="25"/>
      <c r="H6" s="28"/>
      <c r="I6" s="26"/>
      <c r="J6" s="26">
        <f>I6+H6</f>
        <v>0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27">
        <f t="shared" si="3"/>
        <v>0</v>
      </c>
      <c r="AQ6" s="28">
        <f t="shared" ref="AQ6:AQ25" si="4">J6-AP6</f>
        <v>0</v>
      </c>
      <c r="AR6" s="29">
        <f>AP6*G6</f>
        <v>0</v>
      </c>
      <c r="AS6" s="30">
        <f t="shared" ref="AS6:AS25" si="5">AQ6*G6</f>
        <v>0</v>
      </c>
      <c r="AT6" s="30">
        <f t="shared" ref="AT6:AT25" si="6">I6*G6</f>
        <v>0</v>
      </c>
      <c r="AU6" s="30"/>
      <c r="AV6" s="30"/>
      <c r="AW6" s="30">
        <f t="shared" ref="AW6:AW25" si="7">AT6*SUM(AU6:AV6)%+AT6</f>
        <v>0</v>
      </c>
      <c r="AX6" s="47" t="s">
        <v>15</v>
      </c>
    </row>
    <row r="7" spans="1:50" s="5" customFormat="1" x14ac:dyDescent="0.25">
      <c r="A7" s="22">
        <v>3</v>
      </c>
      <c r="B7" s="22"/>
      <c r="C7" s="40"/>
      <c r="D7" s="40"/>
      <c r="E7" s="23"/>
      <c r="F7" s="31"/>
      <c r="G7" s="25"/>
      <c r="H7" s="28"/>
      <c r="I7" s="26"/>
      <c r="J7" s="26">
        <f>I7+H7</f>
        <v>0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27">
        <f t="shared" si="3"/>
        <v>0</v>
      </c>
      <c r="AQ7" s="28">
        <f t="shared" si="4"/>
        <v>0</v>
      </c>
      <c r="AR7" s="29">
        <f>AP7*G7</f>
        <v>0</v>
      </c>
      <c r="AS7" s="30">
        <f t="shared" si="5"/>
        <v>0</v>
      </c>
      <c r="AT7" s="30">
        <f t="shared" si="6"/>
        <v>0</v>
      </c>
      <c r="AU7" s="30"/>
      <c r="AV7" s="30"/>
      <c r="AW7" s="30">
        <f t="shared" si="7"/>
        <v>0</v>
      </c>
      <c r="AX7" s="47" t="s">
        <v>15</v>
      </c>
    </row>
    <row r="8" spans="1:50" s="5" customFormat="1" x14ac:dyDescent="0.25">
      <c r="A8" s="22">
        <v>4</v>
      </c>
      <c r="B8" s="22"/>
      <c r="C8" s="40"/>
      <c r="D8" s="40"/>
      <c r="E8" s="23"/>
      <c r="F8" s="31"/>
      <c r="G8" s="25"/>
      <c r="H8" s="28"/>
      <c r="I8" s="26"/>
      <c r="J8" s="26">
        <f t="shared" ref="J8:J25" si="8">I8+H8</f>
        <v>0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27">
        <f t="shared" si="3"/>
        <v>0</v>
      </c>
      <c r="AQ8" s="28">
        <f t="shared" si="4"/>
        <v>0</v>
      </c>
      <c r="AR8" s="29">
        <f t="shared" ref="AR8:AR25" si="9">AP8*G8</f>
        <v>0</v>
      </c>
      <c r="AS8" s="30">
        <f t="shared" si="5"/>
        <v>0</v>
      </c>
      <c r="AT8" s="30">
        <f t="shared" si="6"/>
        <v>0</v>
      </c>
      <c r="AU8" s="30"/>
      <c r="AV8" s="30"/>
      <c r="AW8" s="30">
        <f t="shared" si="7"/>
        <v>0</v>
      </c>
      <c r="AX8" s="47" t="s">
        <v>15</v>
      </c>
    </row>
    <row r="9" spans="1:50" s="5" customFormat="1" x14ac:dyDescent="0.25">
      <c r="A9" s="22">
        <v>5</v>
      </c>
      <c r="B9" s="22"/>
      <c r="C9" s="40"/>
      <c r="D9" s="40"/>
      <c r="E9" s="23"/>
      <c r="F9" s="31"/>
      <c r="G9" s="25"/>
      <c r="H9" s="28"/>
      <c r="I9" s="26"/>
      <c r="J9" s="26">
        <f t="shared" si="8"/>
        <v>0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27">
        <f t="shared" si="3"/>
        <v>0</v>
      </c>
      <c r="AQ9" s="28">
        <f t="shared" si="4"/>
        <v>0</v>
      </c>
      <c r="AR9" s="29">
        <f t="shared" si="9"/>
        <v>0</v>
      </c>
      <c r="AS9" s="30">
        <f t="shared" si="5"/>
        <v>0</v>
      </c>
      <c r="AT9" s="30">
        <f t="shared" si="6"/>
        <v>0</v>
      </c>
      <c r="AU9" s="30"/>
      <c r="AV9" s="30"/>
      <c r="AW9" s="30">
        <f t="shared" si="7"/>
        <v>0</v>
      </c>
      <c r="AX9" s="47" t="s">
        <v>15</v>
      </c>
    </row>
    <row r="10" spans="1:50" s="5" customFormat="1" x14ac:dyDescent="0.25">
      <c r="A10" s="22">
        <v>6</v>
      </c>
      <c r="B10" s="22"/>
      <c r="C10" s="40"/>
      <c r="D10" s="40"/>
      <c r="E10" s="23"/>
      <c r="F10" s="31"/>
      <c r="G10" s="25"/>
      <c r="H10" s="28"/>
      <c r="I10" s="26"/>
      <c r="J10" s="26">
        <f t="shared" si="8"/>
        <v>0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27">
        <f t="shared" si="3"/>
        <v>0</v>
      </c>
      <c r="AQ10" s="28">
        <f t="shared" si="4"/>
        <v>0</v>
      </c>
      <c r="AR10" s="29">
        <f t="shared" si="9"/>
        <v>0</v>
      </c>
      <c r="AS10" s="30">
        <f t="shared" si="5"/>
        <v>0</v>
      </c>
      <c r="AT10" s="30">
        <f t="shared" si="6"/>
        <v>0</v>
      </c>
      <c r="AU10" s="30"/>
      <c r="AV10" s="30"/>
      <c r="AW10" s="30">
        <f t="shared" si="7"/>
        <v>0</v>
      </c>
      <c r="AX10" s="47" t="s">
        <v>15</v>
      </c>
    </row>
    <row r="11" spans="1:50" s="5" customFormat="1" x14ac:dyDescent="0.25">
      <c r="A11" s="22">
        <v>7</v>
      </c>
      <c r="B11" s="22"/>
      <c r="C11" s="40"/>
      <c r="D11" s="40"/>
      <c r="E11" s="23"/>
      <c r="F11" s="31"/>
      <c r="G11" s="25"/>
      <c r="H11" s="28"/>
      <c r="I11" s="26"/>
      <c r="J11" s="26">
        <f t="shared" si="8"/>
        <v>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27">
        <f t="shared" si="3"/>
        <v>0</v>
      </c>
      <c r="AQ11" s="28">
        <f t="shared" si="4"/>
        <v>0</v>
      </c>
      <c r="AR11" s="29">
        <f t="shared" si="9"/>
        <v>0</v>
      </c>
      <c r="AS11" s="30">
        <f t="shared" si="5"/>
        <v>0</v>
      </c>
      <c r="AT11" s="30">
        <f t="shared" si="6"/>
        <v>0</v>
      </c>
      <c r="AU11" s="30"/>
      <c r="AV11" s="30"/>
      <c r="AW11" s="30">
        <f t="shared" si="7"/>
        <v>0</v>
      </c>
      <c r="AX11" s="47" t="s">
        <v>15</v>
      </c>
    </row>
    <row r="12" spans="1:50" s="5" customFormat="1" x14ac:dyDescent="0.25">
      <c r="A12" s="22">
        <v>8</v>
      </c>
      <c r="B12" s="22"/>
      <c r="C12" s="40"/>
      <c r="D12" s="40"/>
      <c r="E12" s="23"/>
      <c r="F12" s="31"/>
      <c r="G12" s="25"/>
      <c r="H12" s="28"/>
      <c r="I12" s="26"/>
      <c r="J12" s="26">
        <f t="shared" si="8"/>
        <v>0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27">
        <f t="shared" si="3"/>
        <v>0</v>
      </c>
      <c r="AQ12" s="28">
        <f t="shared" si="4"/>
        <v>0</v>
      </c>
      <c r="AR12" s="29">
        <f t="shared" si="9"/>
        <v>0</v>
      </c>
      <c r="AS12" s="30">
        <f t="shared" si="5"/>
        <v>0</v>
      </c>
      <c r="AT12" s="30">
        <f t="shared" si="6"/>
        <v>0</v>
      </c>
      <c r="AU12" s="30"/>
      <c r="AV12" s="30"/>
      <c r="AW12" s="30">
        <f t="shared" si="7"/>
        <v>0</v>
      </c>
      <c r="AX12" s="47" t="s">
        <v>15</v>
      </c>
    </row>
    <row r="13" spans="1:50" s="5" customFormat="1" x14ac:dyDescent="0.25">
      <c r="A13" s="22">
        <v>9</v>
      </c>
      <c r="B13" s="22"/>
      <c r="C13" s="40"/>
      <c r="D13" s="40"/>
      <c r="E13" s="23"/>
      <c r="F13" s="31"/>
      <c r="G13" s="25"/>
      <c r="H13" s="28"/>
      <c r="I13" s="26"/>
      <c r="J13" s="26">
        <f t="shared" si="8"/>
        <v>0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27">
        <f t="shared" si="3"/>
        <v>0</v>
      </c>
      <c r="AQ13" s="28">
        <f t="shared" si="4"/>
        <v>0</v>
      </c>
      <c r="AR13" s="29">
        <f t="shared" si="9"/>
        <v>0</v>
      </c>
      <c r="AS13" s="30">
        <f t="shared" si="5"/>
        <v>0</v>
      </c>
      <c r="AT13" s="30">
        <f t="shared" si="6"/>
        <v>0</v>
      </c>
      <c r="AU13" s="30"/>
      <c r="AV13" s="30"/>
      <c r="AW13" s="30">
        <f t="shared" si="7"/>
        <v>0</v>
      </c>
      <c r="AX13" s="47" t="s">
        <v>15</v>
      </c>
    </row>
    <row r="14" spans="1:50" s="5" customFormat="1" x14ac:dyDescent="0.25">
      <c r="A14" s="22">
        <v>10</v>
      </c>
      <c r="B14" s="22"/>
      <c r="C14" s="40"/>
      <c r="D14" s="40"/>
      <c r="E14" s="23"/>
      <c r="F14" s="31"/>
      <c r="G14" s="25"/>
      <c r="H14" s="28"/>
      <c r="I14" s="26"/>
      <c r="J14" s="26">
        <f t="shared" si="8"/>
        <v>0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27">
        <f t="shared" si="3"/>
        <v>0</v>
      </c>
      <c r="AQ14" s="28">
        <f t="shared" si="4"/>
        <v>0</v>
      </c>
      <c r="AR14" s="29">
        <f t="shared" si="9"/>
        <v>0</v>
      </c>
      <c r="AS14" s="30">
        <f t="shared" si="5"/>
        <v>0</v>
      </c>
      <c r="AT14" s="30">
        <f t="shared" si="6"/>
        <v>0</v>
      </c>
      <c r="AU14" s="30"/>
      <c r="AV14" s="30"/>
      <c r="AW14" s="30">
        <f t="shared" si="7"/>
        <v>0</v>
      </c>
      <c r="AX14" s="47" t="s">
        <v>15</v>
      </c>
    </row>
    <row r="15" spans="1:50" s="5" customFormat="1" x14ac:dyDescent="0.25">
      <c r="A15" s="22">
        <v>11</v>
      </c>
      <c r="B15" s="22"/>
      <c r="C15" s="40"/>
      <c r="D15" s="40"/>
      <c r="E15" s="23"/>
      <c r="F15" s="31"/>
      <c r="G15" s="25"/>
      <c r="H15" s="26"/>
      <c r="I15" s="26"/>
      <c r="J15" s="26">
        <f t="shared" si="8"/>
        <v>0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27">
        <f t="shared" si="3"/>
        <v>0</v>
      </c>
      <c r="AQ15" s="28">
        <f t="shared" si="4"/>
        <v>0</v>
      </c>
      <c r="AR15" s="29">
        <f t="shared" si="9"/>
        <v>0</v>
      </c>
      <c r="AS15" s="30">
        <f t="shared" si="5"/>
        <v>0</v>
      </c>
      <c r="AT15" s="30">
        <f t="shared" si="6"/>
        <v>0</v>
      </c>
      <c r="AU15" s="30"/>
      <c r="AV15" s="30"/>
      <c r="AW15" s="30">
        <f t="shared" si="7"/>
        <v>0</v>
      </c>
      <c r="AX15" s="47" t="s">
        <v>15</v>
      </c>
    </row>
    <row r="16" spans="1:50" s="5" customFormat="1" x14ac:dyDescent="0.25">
      <c r="A16" s="22">
        <v>12</v>
      </c>
      <c r="B16" s="22"/>
      <c r="C16" s="40"/>
      <c r="D16" s="40"/>
      <c r="E16" s="23"/>
      <c r="F16" s="31"/>
      <c r="G16" s="25"/>
      <c r="H16" s="26"/>
      <c r="I16" s="26"/>
      <c r="J16" s="26">
        <f t="shared" si="8"/>
        <v>0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27">
        <f t="shared" si="3"/>
        <v>0</v>
      </c>
      <c r="AQ16" s="28">
        <f t="shared" si="4"/>
        <v>0</v>
      </c>
      <c r="AR16" s="29">
        <f t="shared" si="9"/>
        <v>0</v>
      </c>
      <c r="AS16" s="30">
        <f t="shared" si="5"/>
        <v>0</v>
      </c>
      <c r="AT16" s="30">
        <f t="shared" si="6"/>
        <v>0</v>
      </c>
      <c r="AU16" s="30"/>
      <c r="AV16" s="30"/>
      <c r="AW16" s="30">
        <f t="shared" si="7"/>
        <v>0</v>
      </c>
      <c r="AX16" s="47" t="s">
        <v>15</v>
      </c>
    </row>
    <row r="17" spans="1:50" s="5" customFormat="1" x14ac:dyDescent="0.25">
      <c r="A17" s="22">
        <v>12</v>
      </c>
      <c r="B17" s="22"/>
      <c r="C17" s="40"/>
      <c r="D17" s="40"/>
      <c r="E17" s="23"/>
      <c r="F17" s="31"/>
      <c r="G17" s="25"/>
      <c r="H17" s="26"/>
      <c r="I17" s="26"/>
      <c r="J17" s="26">
        <f t="shared" ref="J17" si="10">I17+H17</f>
        <v>0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27">
        <f t="shared" ref="AP17" si="11">SUM(K17:AO17)</f>
        <v>0</v>
      </c>
      <c r="AQ17" s="28">
        <f t="shared" ref="AQ17" si="12">J17-AP17</f>
        <v>0</v>
      </c>
      <c r="AR17" s="29">
        <f t="shared" ref="AR17" si="13">AP17*G17</f>
        <v>0</v>
      </c>
      <c r="AS17" s="30">
        <f t="shared" ref="AS17" si="14">AQ17*G17</f>
        <v>0</v>
      </c>
      <c r="AT17" s="30">
        <f t="shared" ref="AT17" si="15">I17*G17</f>
        <v>0</v>
      </c>
      <c r="AU17" s="30"/>
      <c r="AV17" s="30"/>
      <c r="AW17" s="30">
        <f t="shared" ref="AW17" si="16">AT17*SUM(AU17:AV17)%+AT17</f>
        <v>0</v>
      </c>
      <c r="AX17" s="47" t="s">
        <v>15</v>
      </c>
    </row>
    <row r="18" spans="1:50" s="5" customFormat="1" x14ac:dyDescent="0.25">
      <c r="A18" s="22">
        <v>12</v>
      </c>
      <c r="B18" s="22"/>
      <c r="C18" s="40"/>
      <c r="D18" s="40"/>
      <c r="E18" s="23"/>
      <c r="F18" s="31"/>
      <c r="G18" s="25"/>
      <c r="H18" s="26"/>
      <c r="I18" s="26"/>
      <c r="J18" s="26">
        <f t="shared" ref="J18" si="17">I18+H18</f>
        <v>0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27">
        <f t="shared" ref="AP18" si="18">SUM(K18:AO18)</f>
        <v>0</v>
      </c>
      <c r="AQ18" s="28">
        <f t="shared" ref="AQ18" si="19">J18-AP18</f>
        <v>0</v>
      </c>
      <c r="AR18" s="29">
        <f t="shared" ref="AR18" si="20">AP18*G18</f>
        <v>0</v>
      </c>
      <c r="AS18" s="30">
        <f t="shared" ref="AS18" si="21">AQ18*G18</f>
        <v>0</v>
      </c>
      <c r="AT18" s="30">
        <f t="shared" ref="AT18" si="22">I18*G18</f>
        <v>0</v>
      </c>
      <c r="AU18" s="30"/>
      <c r="AV18" s="30"/>
      <c r="AW18" s="30">
        <f t="shared" ref="AW18" si="23">AT18*SUM(AU18:AV18)%+AT18</f>
        <v>0</v>
      </c>
      <c r="AX18" s="47" t="s">
        <v>15</v>
      </c>
    </row>
    <row r="19" spans="1:50" s="5" customFormat="1" x14ac:dyDescent="0.25">
      <c r="A19" s="22">
        <v>13</v>
      </c>
      <c r="B19" s="22"/>
      <c r="C19" s="40"/>
      <c r="D19" s="40"/>
      <c r="E19" s="23"/>
      <c r="F19" s="31"/>
      <c r="G19" s="25"/>
      <c r="H19" s="26"/>
      <c r="I19" s="26"/>
      <c r="J19" s="26">
        <f t="shared" si="8"/>
        <v>0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27">
        <f t="shared" si="3"/>
        <v>0</v>
      </c>
      <c r="AQ19" s="28">
        <f t="shared" si="4"/>
        <v>0</v>
      </c>
      <c r="AR19" s="29">
        <f t="shared" si="9"/>
        <v>0</v>
      </c>
      <c r="AS19" s="30">
        <f t="shared" si="5"/>
        <v>0</v>
      </c>
      <c r="AT19" s="30">
        <f t="shared" si="6"/>
        <v>0</v>
      </c>
      <c r="AU19" s="30"/>
      <c r="AV19" s="30"/>
      <c r="AW19" s="30">
        <f t="shared" si="7"/>
        <v>0</v>
      </c>
      <c r="AX19" s="47" t="s">
        <v>15</v>
      </c>
    </row>
    <row r="20" spans="1:50" s="5" customFormat="1" x14ac:dyDescent="0.25">
      <c r="A20" s="22">
        <v>14</v>
      </c>
      <c r="B20" s="22"/>
      <c r="C20" s="40"/>
      <c r="D20" s="40"/>
      <c r="E20" s="23"/>
      <c r="F20" s="31"/>
      <c r="G20" s="25"/>
      <c r="H20" s="26"/>
      <c r="I20" s="26"/>
      <c r="J20" s="26">
        <f t="shared" si="8"/>
        <v>0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27">
        <f t="shared" si="3"/>
        <v>0</v>
      </c>
      <c r="AQ20" s="28">
        <f t="shared" si="4"/>
        <v>0</v>
      </c>
      <c r="AR20" s="29">
        <f t="shared" si="9"/>
        <v>0</v>
      </c>
      <c r="AS20" s="30">
        <f t="shared" si="5"/>
        <v>0</v>
      </c>
      <c r="AT20" s="30">
        <f t="shared" si="6"/>
        <v>0</v>
      </c>
      <c r="AU20" s="30"/>
      <c r="AV20" s="30"/>
      <c r="AW20" s="30">
        <f t="shared" si="7"/>
        <v>0</v>
      </c>
      <c r="AX20" s="47" t="s">
        <v>15</v>
      </c>
    </row>
    <row r="21" spans="1:50" s="5" customFormat="1" x14ac:dyDescent="0.25">
      <c r="A21" s="22">
        <v>15</v>
      </c>
      <c r="B21" s="22"/>
      <c r="C21" s="40"/>
      <c r="D21" s="40"/>
      <c r="E21" s="23"/>
      <c r="F21" s="31"/>
      <c r="G21" s="25"/>
      <c r="H21" s="26"/>
      <c r="I21" s="26"/>
      <c r="J21" s="26">
        <f t="shared" si="8"/>
        <v>0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27">
        <f t="shared" si="3"/>
        <v>0</v>
      </c>
      <c r="AQ21" s="28">
        <f t="shared" si="4"/>
        <v>0</v>
      </c>
      <c r="AR21" s="29">
        <f t="shared" si="9"/>
        <v>0</v>
      </c>
      <c r="AS21" s="30">
        <f t="shared" si="5"/>
        <v>0</v>
      </c>
      <c r="AT21" s="30">
        <f t="shared" si="6"/>
        <v>0</v>
      </c>
      <c r="AU21" s="30"/>
      <c r="AV21" s="30"/>
      <c r="AW21" s="30">
        <f t="shared" si="7"/>
        <v>0</v>
      </c>
      <c r="AX21" s="47" t="s">
        <v>15</v>
      </c>
    </row>
    <row r="22" spans="1:50" s="5" customFormat="1" x14ac:dyDescent="0.25">
      <c r="A22" s="22">
        <v>16</v>
      </c>
      <c r="B22" s="22"/>
      <c r="C22" s="40"/>
      <c r="D22" s="40"/>
      <c r="E22" s="23"/>
      <c r="F22" s="31"/>
      <c r="G22" s="25"/>
      <c r="H22" s="26"/>
      <c r="I22" s="26"/>
      <c r="J22" s="26">
        <f t="shared" si="8"/>
        <v>0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27">
        <f t="shared" si="3"/>
        <v>0</v>
      </c>
      <c r="AQ22" s="28">
        <f t="shared" si="4"/>
        <v>0</v>
      </c>
      <c r="AR22" s="29">
        <f t="shared" si="9"/>
        <v>0</v>
      </c>
      <c r="AS22" s="30">
        <f t="shared" si="5"/>
        <v>0</v>
      </c>
      <c r="AT22" s="30">
        <f t="shared" si="6"/>
        <v>0</v>
      </c>
      <c r="AU22" s="30"/>
      <c r="AV22" s="30"/>
      <c r="AW22" s="30">
        <f t="shared" si="7"/>
        <v>0</v>
      </c>
      <c r="AX22" s="47" t="s">
        <v>15</v>
      </c>
    </row>
    <row r="23" spans="1:50" s="5" customFormat="1" x14ac:dyDescent="0.25">
      <c r="A23" s="22">
        <v>17</v>
      </c>
      <c r="B23" s="22"/>
      <c r="C23" s="40"/>
      <c r="D23" s="40"/>
      <c r="E23" s="23"/>
      <c r="F23" s="31"/>
      <c r="G23" s="25"/>
      <c r="H23" s="26"/>
      <c r="I23" s="26"/>
      <c r="J23" s="26">
        <f t="shared" si="8"/>
        <v>0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27">
        <f t="shared" si="3"/>
        <v>0</v>
      </c>
      <c r="AQ23" s="28">
        <f t="shared" si="4"/>
        <v>0</v>
      </c>
      <c r="AR23" s="29">
        <f t="shared" si="9"/>
        <v>0</v>
      </c>
      <c r="AS23" s="30">
        <f t="shared" si="5"/>
        <v>0</v>
      </c>
      <c r="AT23" s="30">
        <f t="shared" si="6"/>
        <v>0</v>
      </c>
      <c r="AU23" s="30"/>
      <c r="AV23" s="30"/>
      <c r="AW23" s="30">
        <f t="shared" si="7"/>
        <v>0</v>
      </c>
      <c r="AX23" s="47" t="s">
        <v>15</v>
      </c>
    </row>
    <row r="24" spans="1:50" s="5" customFormat="1" x14ac:dyDescent="0.25">
      <c r="A24" s="22">
        <v>18</v>
      </c>
      <c r="B24" s="22"/>
      <c r="C24" s="40"/>
      <c r="D24" s="40"/>
      <c r="E24" s="23"/>
      <c r="F24" s="31"/>
      <c r="G24" s="25"/>
      <c r="H24" s="26"/>
      <c r="I24" s="26"/>
      <c r="J24" s="26">
        <f t="shared" si="8"/>
        <v>0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27">
        <f t="shared" si="3"/>
        <v>0</v>
      </c>
      <c r="AQ24" s="28">
        <f t="shared" si="4"/>
        <v>0</v>
      </c>
      <c r="AR24" s="29">
        <f t="shared" si="9"/>
        <v>0</v>
      </c>
      <c r="AS24" s="30">
        <f t="shared" si="5"/>
        <v>0</v>
      </c>
      <c r="AT24" s="30">
        <f t="shared" si="6"/>
        <v>0</v>
      </c>
      <c r="AU24" s="30"/>
      <c r="AV24" s="30"/>
      <c r="AW24" s="30">
        <f t="shared" si="7"/>
        <v>0</v>
      </c>
      <c r="AX24" s="47" t="s">
        <v>15</v>
      </c>
    </row>
    <row r="25" spans="1:50" s="5" customFormat="1" x14ac:dyDescent="0.25">
      <c r="A25" s="22">
        <v>19</v>
      </c>
      <c r="B25" s="22"/>
      <c r="C25" s="40"/>
      <c r="D25" s="40"/>
      <c r="E25" s="23"/>
      <c r="F25" s="31"/>
      <c r="G25" s="25"/>
      <c r="H25" s="26"/>
      <c r="I25" s="26"/>
      <c r="J25" s="26">
        <f t="shared" si="8"/>
        <v>0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27">
        <f t="shared" si="3"/>
        <v>0</v>
      </c>
      <c r="AQ25" s="28">
        <f t="shared" si="4"/>
        <v>0</v>
      </c>
      <c r="AR25" s="29">
        <f t="shared" si="9"/>
        <v>0</v>
      </c>
      <c r="AS25" s="30">
        <f t="shared" si="5"/>
        <v>0</v>
      </c>
      <c r="AT25" s="30">
        <f t="shared" si="6"/>
        <v>0</v>
      </c>
      <c r="AU25" s="30"/>
      <c r="AV25" s="30"/>
      <c r="AW25" s="30">
        <f t="shared" si="7"/>
        <v>0</v>
      </c>
      <c r="AX25" s="47" t="s">
        <v>15</v>
      </c>
    </row>
    <row r="26" spans="1:50" s="5" customFormat="1" ht="12.75" x14ac:dyDescent="0.2">
      <c r="A26" s="22"/>
      <c r="B26" s="39"/>
      <c r="C26" s="39"/>
      <c r="D26" s="39"/>
      <c r="E26" s="80" t="s">
        <v>7</v>
      </c>
      <c r="F26" s="81"/>
      <c r="G26" s="82"/>
      <c r="H26" s="49">
        <f t="shared" ref="H26:AN26" si="24">SUM(H5:H25)</f>
        <v>0</v>
      </c>
      <c r="I26" s="49">
        <f t="shared" si="24"/>
        <v>0</v>
      </c>
      <c r="J26" s="49">
        <f t="shared" si="24"/>
        <v>0</v>
      </c>
      <c r="K26" s="49">
        <f t="shared" si="24"/>
        <v>0</v>
      </c>
      <c r="L26" s="49">
        <f t="shared" si="24"/>
        <v>0</v>
      </c>
      <c r="M26" s="49">
        <f t="shared" si="24"/>
        <v>0</v>
      </c>
      <c r="N26" s="49">
        <f t="shared" si="24"/>
        <v>0</v>
      </c>
      <c r="O26" s="49">
        <f t="shared" si="24"/>
        <v>0</v>
      </c>
      <c r="P26" s="49">
        <f t="shared" si="24"/>
        <v>0</v>
      </c>
      <c r="Q26" s="49">
        <f t="shared" si="24"/>
        <v>0</v>
      </c>
      <c r="R26" s="49">
        <f t="shared" si="24"/>
        <v>0</v>
      </c>
      <c r="S26" s="49">
        <f t="shared" si="24"/>
        <v>0</v>
      </c>
      <c r="T26" s="49">
        <f t="shared" si="24"/>
        <v>0</v>
      </c>
      <c r="U26" s="49">
        <f t="shared" si="24"/>
        <v>0</v>
      </c>
      <c r="V26" s="49">
        <f t="shared" si="24"/>
        <v>0</v>
      </c>
      <c r="W26" s="49">
        <f t="shared" si="24"/>
        <v>0</v>
      </c>
      <c r="X26" s="49">
        <f t="shared" si="24"/>
        <v>0</v>
      </c>
      <c r="Y26" s="49">
        <f t="shared" si="24"/>
        <v>0</v>
      </c>
      <c r="Z26" s="49">
        <f t="shared" si="24"/>
        <v>0</v>
      </c>
      <c r="AA26" s="49">
        <f t="shared" si="24"/>
        <v>0</v>
      </c>
      <c r="AB26" s="49">
        <f t="shared" si="24"/>
        <v>0</v>
      </c>
      <c r="AC26" s="49">
        <f t="shared" si="24"/>
        <v>0</v>
      </c>
      <c r="AD26" s="49">
        <f t="shared" si="24"/>
        <v>0</v>
      </c>
      <c r="AE26" s="49">
        <f t="shared" si="24"/>
        <v>0</v>
      </c>
      <c r="AF26" s="49">
        <f t="shared" si="24"/>
        <v>0</v>
      </c>
      <c r="AG26" s="49">
        <f t="shared" si="24"/>
        <v>0</v>
      </c>
      <c r="AH26" s="49">
        <f t="shared" si="24"/>
        <v>0</v>
      </c>
      <c r="AI26" s="49">
        <f t="shared" si="24"/>
        <v>0</v>
      </c>
      <c r="AJ26" s="49">
        <f t="shared" si="24"/>
        <v>0</v>
      </c>
      <c r="AK26" s="49">
        <f t="shared" si="24"/>
        <v>0</v>
      </c>
      <c r="AL26" s="49">
        <f t="shared" si="24"/>
        <v>0</v>
      </c>
      <c r="AM26" s="49">
        <f t="shared" si="24"/>
        <v>0</v>
      </c>
      <c r="AN26" s="49">
        <f t="shared" si="24"/>
        <v>0</v>
      </c>
      <c r="AO26" s="49"/>
      <c r="AP26" s="49">
        <f>SUM(AP5:AP25)</f>
        <v>0</v>
      </c>
      <c r="AQ26" s="49">
        <f>SUM(AQ5:AQ25)</f>
        <v>0</v>
      </c>
      <c r="AR26" s="49">
        <f>SUM(AR5:AR25)</f>
        <v>0</v>
      </c>
      <c r="AS26" s="49">
        <f>SUM(AS5:AS25)</f>
        <v>0</v>
      </c>
      <c r="AT26" s="49">
        <f>SUM(AT5:AT25)</f>
        <v>0</v>
      </c>
      <c r="AU26" s="33"/>
      <c r="AV26" s="33"/>
      <c r="AW26" s="33"/>
      <c r="AX26" s="33"/>
    </row>
  </sheetData>
  <mergeCells count="2">
    <mergeCell ref="A1:V1"/>
    <mergeCell ref="E26:G26"/>
  </mergeCells>
  <conditionalFormatting sqref="A3:I3">
    <cfRule type="containsText" dxfId="3" priority="1" operator="containsText" text="sat"/>
    <cfRule type="containsText" dxfId="2" priority="2" operator="containsText" text="sun"/>
  </conditionalFormatting>
  <conditionalFormatting sqref="E5:E7">
    <cfRule type="duplicateValues" priority="15"/>
    <cfRule type="duplicateValues" priority="16"/>
    <cfRule type="duplicateValues" priority="17"/>
    <cfRule type="duplicateValues" priority="18"/>
  </conditionalFormatting>
  <conditionalFormatting sqref="E8">
    <cfRule type="duplicateValues" priority="11"/>
    <cfRule type="duplicateValues" priority="12"/>
    <cfRule type="duplicateValues" priority="13"/>
    <cfRule type="duplicateValues" priority="14"/>
  </conditionalFormatting>
  <conditionalFormatting sqref="E9">
    <cfRule type="duplicateValues" priority="3"/>
    <cfRule type="duplicateValues" priority="4"/>
    <cfRule type="duplicateValues" priority="5"/>
    <cfRule type="duplicateValues" priority="6"/>
  </conditionalFormatting>
  <conditionalFormatting sqref="E10:E14">
    <cfRule type="duplicateValues" priority="7"/>
    <cfRule type="duplicateValues" priority="8"/>
    <cfRule type="duplicateValues" priority="9"/>
    <cfRule type="duplicateValues" priority="10"/>
  </conditionalFormatting>
  <conditionalFormatting sqref="E15:E19">
    <cfRule type="duplicateValues" priority="55"/>
    <cfRule type="duplicateValues" priority="56"/>
    <cfRule type="duplicateValues" priority="57"/>
    <cfRule type="duplicateValues" priority="58"/>
  </conditionalFormatting>
  <conditionalFormatting sqref="E20:E25">
    <cfRule type="duplicateValues" priority="89"/>
    <cfRule type="duplicateValues" priority="90"/>
    <cfRule type="duplicateValues" priority="91"/>
    <cfRule type="duplicateValues" priority="92"/>
  </conditionalFormatting>
  <conditionalFormatting sqref="K3:AO3">
    <cfRule type="containsText" dxfId="1" priority="87" operator="containsText" text="sat"/>
    <cfRule type="containsText" dxfId="0" priority="88" operator="containsText" text="sun"/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1"/>
  <sheetViews>
    <sheetView workbookViewId="0">
      <pane ySplit="1" topLeftCell="A2" activePane="bottomLeft" state="frozen"/>
      <selection pane="bottomLeft" activeCell="A2" sqref="A2:A11"/>
    </sheetView>
  </sheetViews>
  <sheetFormatPr defaultRowHeight="15" x14ac:dyDescent="0.25"/>
  <cols>
    <col min="1" max="1" width="22.28515625" bestFit="1" customWidth="1"/>
    <col min="8" max="8" width="45.140625" bestFit="1" customWidth="1"/>
  </cols>
  <sheetData>
    <row r="1" spans="1:1" x14ac:dyDescent="0.25">
      <c r="A1" s="42" t="s">
        <v>8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Grocery Purchase</vt:lpstr>
      <vt:lpstr>Bottle Consu.</vt:lpstr>
      <vt:lpstr>Hukka Consu.</vt:lpstr>
      <vt:lpstr>Sheet_Support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Suresh Ghadge</dc:creator>
  <cp:lastModifiedBy>Admin</cp:lastModifiedBy>
  <dcterms:created xsi:type="dcterms:W3CDTF">2015-06-05T18:17:20Z</dcterms:created>
  <dcterms:modified xsi:type="dcterms:W3CDTF">2026-03-10T06:09:53Z</dcterms:modified>
</cp:coreProperties>
</file>